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éeme" sheetId="1" state="visible" r:id="rId3"/>
    <sheet name="Parámetros" sheetId="2" state="visible" r:id="rId4"/>
    <sheet name="Duraciones" sheetId="3" state="visible" r:id="rId5"/>
    <sheet name="Demanda" sheetId="4" state="visible" r:id="rId6"/>
    <sheet name="Supuestos" sheetId="5" state="visible" r:id="rId7"/>
    <sheet name="Contraste estructural" sheetId="6" state="visible" r:id="rId8"/>
    <sheet name="Fuentes" sheetId="7" state="visible" r:id="rId9"/>
  </sheets>
  <definedNames>
    <definedName function="false" hidden="false" localSheetId="1" name="_xlnm.Print_Titles" vbProcedure="false">Parámetros!$4:$4</definedName>
    <definedName function="false" hidden="true" localSheetId="1" name="_xlnm._FilterDatabase" vbProcedure="false">Parámetros!$A$4:$J$61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<sst xmlns="http://schemas.openxmlformats.org/spreadsheetml/2006/main" count="953" uniqueCount="584">
  <si>
    <t xml:space="preserve">Hoja de parámetros del generador de datos sintéticos (Objetivo 1)</t>
  </si>
  <si>
    <t xml:space="preserve">Modelo predictivo con datos sintéticos para la estimación de tiempos y la asignación de recursos en laboratorios de control de calidad farmacéuticos</t>
  </si>
  <si>
    <t xml:space="preserve">Para qué sirve</t>
  </si>
  <si>
    <t xml:space="preserve">Reúne los parámetros operativos que reportan las cinco fuentes de calibración del anteproyecto, cada uno con su página, para construir el generador (bloques del 25 al 31 de octubre) y para la tabla de trazabilidad que arma Aldair el jueves 29.</t>
  </si>
  <si>
    <t xml:space="preserve">Hojas</t>
  </si>
  <si>
    <t xml:space="preserve">Parámetros (lista completa) · Duraciones (tres puntos por técnica y tarea, con media y desviación PERT) · Demanda (mezcla, volumen y escenarios de carga) · Supuestos (lo que no está en las fuentes y deben decidir) · Contraste estructural (para el bloque del 1 de noviembre) · Fuentes (APA 7).</t>
  </si>
  <si>
    <t xml:space="preserve">Columna «Tipo»</t>
  </si>
  <si>
    <t xml:space="preserve">Dato de la literatura = valor tal como aparece en la fuente. Derivado = cálculo propio a partir de datos de la fuente (la fórmula está en la celda). Supuesto = no aparece en las fuentes revisadas: hay que justificarlo o tratarlo con escenarios.</t>
  </si>
  <si>
    <t xml:space="preserve">Colores</t>
  </si>
  <si>
    <t xml:space="preserve">Texto azul = valor tomado de la fuente (no editar salvo que encuentren un error). Texto negro = fórmula. Fondo amarillo = supuesto que deben decidir ustedes (son las únicas celdas pensadas para editar).</t>
  </si>
  <si>
    <t xml:space="preserve">Páginas</t>
  </si>
  <si>
    <t xml:space="preserve">Se cita el número de página de la revista (el que va en APA), no el del PDF. Ejemplo: Costigliola et al. (2017) va de la p. 9014 a la 9019.</t>
  </si>
  <si>
    <t xml:space="preserve">Ojo 1</t>
  </si>
  <si>
    <t xml:space="preserve">Costigliola et al. (2017) usa distribuciones triangulares T(mín, moda, máx). El anteproyecto usa BetaPERT con esos mismos tres puntos: declárenlo en la metodología como una adaptación propia.</t>
  </si>
  <si>
    <t xml:space="preserve">Ojo 2</t>
  </si>
  <si>
    <t xml:space="preserve">Las cinco fuentes no traen valores para la tasa de reanálisis por OOS, la indisponibilidad de equipos, el porcentaje de urgentes ni los coeficientes de correlación. Están en la hoja Supuestos con una propuesta de escenarios; necesitan fuente o se declaran como supuestos.</t>
  </si>
  <si>
    <t xml:space="preserve">Ojo 3</t>
  </si>
  <si>
    <t xml:space="preserve">Costigliola, Cunha y Martins trabajan con datos del laboratorio de Hovione, y Coito pertenece al mismo grupo de investigación (IDMEC, Universidad de Lisboa). Eso da coherencia entre fuentes, pero conviene mencionarlo como limitación de representatividad (Alcance I).</t>
  </si>
  <si>
    <t xml:space="preserve">Ejemplo de colores</t>
  </si>
  <si>
    <t xml:space="preserve">← dato de la fuente (texto azul)</t>
  </si>
  <si>
    <t xml:space="preserve">← fórmula (texto negro)</t>
  </si>
  <si>
    <t xml:space="preserve">← supuesto que deben decidir (fondo amarillo)</t>
  </si>
  <si>
    <t xml:space="preserve">Parámetros con fuente y página</t>
  </si>
  <si>
    <t xml:space="preserve">Una fila por parámetro. Filtren por Bloque, Tipo o Dimensión con los filtros del encabezado.</t>
  </si>
  <si>
    <t xml:space="preserve">ID</t>
  </si>
  <si>
    <t xml:space="preserve">Bloque</t>
  </si>
  <si>
    <t xml:space="preserve">Parámetro</t>
  </si>
  <si>
    <t xml:space="preserve">Valor</t>
  </si>
  <si>
    <t xml:space="preserve">Unidad</t>
  </si>
  <si>
    <t xml:space="preserve">Tipo</t>
  </si>
  <si>
    <t xml:space="preserve">Fuente</t>
  </si>
  <si>
    <t xml:space="preserve">Página / ubicación</t>
  </si>
  <si>
    <t xml:space="preserve">Uso sugerido en el generador</t>
  </si>
  <si>
    <t xml:space="preserve">Dimensión del sistema de variables</t>
  </si>
  <si>
    <t xml:space="preserve">P01</t>
  </si>
  <si>
    <t xml:space="preserve">Laboratorio y recursos</t>
  </si>
  <si>
    <t xml:space="preserve">Equipos del laboratorio de referencia</t>
  </si>
  <si>
    <t xml:space="preserve">equipos</t>
  </si>
  <si>
    <t xml:space="preserve">Dato de la literatura</t>
  </si>
  <si>
    <t xml:space="preserve">Costigliola et al. (2017)</t>
  </si>
  <si>
    <t xml:space="preserve">p. 9015, §2</t>
  </si>
  <si>
    <t xml:space="preserve">Tamaño de la planta de equipos del escenario base.</t>
  </si>
  <si>
    <t xml:space="preserve">Recursos materiales</t>
  </si>
  <si>
    <t xml:space="preserve">P02</t>
  </si>
  <si>
    <t xml:space="preserve">Tipos de equipo / técnica analítica</t>
  </si>
  <si>
    <t xml:space="preserve">6: HPLC, GC, PSA (tamaño de partícula), titulación Karl Fischer (KF), DSC y XRPD</t>
  </si>
  <si>
    <t xml:space="preserve">tipos</t>
  </si>
  <si>
    <t xml:space="preserve">Catálogo de técnicas del laboratorio de referencia.</t>
  </si>
  <si>
    <t xml:space="preserve">P03</t>
  </si>
  <si>
    <t xml:space="preserve">Analistas</t>
  </si>
  <si>
    <t xml:space="preserve">analistas</t>
  </si>
  <si>
    <t xml:space="preserve">p. 9015, §2 y §2.1</t>
  </si>
  <si>
    <t xml:space="preserve">Tamaño de la plantilla del escenario base.</t>
  </si>
  <si>
    <t xml:space="preserve">Recursos humanos</t>
  </si>
  <si>
    <t xml:space="preserve">P04</t>
  </si>
  <si>
    <t xml:space="preserve">Horario de operación</t>
  </si>
  <si>
    <t xml:space="preserve">24 h, 7 días para control en proceso; estabilidad, desarrollo y validación de lunes a viernes</t>
  </si>
  <si>
    <t xml:space="preserve">—</t>
  </si>
  <si>
    <t xml:space="preserve">p. 9015, §2.1</t>
  </si>
  <si>
    <t xml:space="preserve">Calendario de disponibilidad del laboratorio.</t>
  </si>
  <si>
    <t xml:space="preserve">P05</t>
  </si>
  <si>
    <t xml:space="preserve">Turnos (Tabla 1)</t>
  </si>
  <si>
    <t xml:space="preserve">Turno 1: 7 días, 8:00–20:00 y 20:00–8:00, 2 analistas por turno · Turno 2: 5 días, 8:00–17:00 y 17:00–24:00, 2 por turno · Turno 3: 5 días, 8:00–17:00, 10 analistas</t>
  </si>
  <si>
    <t xml:space="preserve">p. 9015, Tabla 1</t>
  </si>
  <si>
    <t xml:space="preserve">Calendarios de disponibilidad de cada analista.</t>
  </si>
  <si>
    <t xml:space="preserve">P06</t>
  </si>
  <si>
    <t xml:space="preserve">Distribución de la plantilla por turno</t>
  </si>
  <si>
    <t xml:space="preserve">6 analistas en turnos rotativos de 12 h, 4 en dos turnos de 8 h y 10 en turno fijo de 8 h, 5 días a la semana</t>
  </si>
  <si>
    <t xml:space="preserve">Asignar turno a cada analista generado.</t>
  </si>
  <si>
    <t xml:space="preserve">P07</t>
  </si>
  <si>
    <t xml:space="preserve">Recursos en instancia diaria realista</t>
  </si>
  <si>
    <t xml:space="preserve">15 máquinas y 5 analistas</t>
  </si>
  <si>
    <t xml:space="preserve">Cunha et al. (2019)</t>
  </si>
  <si>
    <t xml:space="preserve">p. 1425, §4.2</t>
  </si>
  <si>
    <t xml:space="preserve">Escenario reducido (diario) para pruebas rápidas del simulador.</t>
  </si>
  <si>
    <t xml:space="preserve">P08</t>
  </si>
  <si>
    <t xml:space="preserve">Recursos en experimentos de Martins</t>
  </si>
  <si>
    <t xml:space="preserve">7 máquinas (tipos de equipo); 2, 3 o 7 analistas (restringido por analistas, balanceado, restringido por máquinas)</t>
  </si>
  <si>
    <t xml:space="preserve">Martins et al. (2023)</t>
  </si>
  <si>
    <t xml:space="preserve">p. 191, §6.1</t>
  </si>
  <si>
    <t xml:space="preserve">Inspiración para escenarios con distinta relación analistas/equipos.</t>
  </si>
  <si>
    <t xml:space="preserve">P09</t>
  </si>
  <si>
    <t xml:space="preserve">Estructura de ensayos</t>
  </si>
  <si>
    <t xml:space="preserve">Tareas de un análisis (modelo de Costigliola)</t>
  </si>
  <si>
    <t xml:space="preserve">Preparación del sistema (soluciones, materiales y montaje del equipo), preparación de la muestra, idoneidad del sistema, análisis y procesamiento de datos</t>
  </si>
  <si>
    <t xml:space="preserve">pp. 9015–9016, Fig. 1</t>
  </si>
  <si>
    <t xml:space="preserve">Secuencia de tareas de cada actividad analítica.</t>
  </si>
  <si>
    <t xml:space="preserve">Tiempos de ejecución</t>
  </si>
  <si>
    <t xml:space="preserve">P10</t>
  </si>
  <si>
    <t xml:space="preserve">Tareas de un ensayo (modelo de Coito)</t>
  </si>
  <si>
    <t xml:space="preserve">Seis tareas en orden: preparación del sistema, idoneidad del sistema, preparación de la muestra, corrida analítica, procesamiento de datos y revisión</t>
  </si>
  <si>
    <t xml:space="preserve">Coito et al. (2021)</t>
  </si>
  <si>
    <t xml:space="preserve">p. 72, §4</t>
  </si>
  <si>
    <t xml:space="preserve">Igual al anterior, más la revisión final.</t>
  </si>
  <si>
    <t xml:space="preserve">P11</t>
  </si>
  <si>
    <t xml:space="preserve">Recurso que exige cada tarea</t>
  </si>
  <si>
    <t xml:space="preserve">Analista, equipo o ambos; el recurso puede requerirse toda la tarea o solo un porcentaje de ella</t>
  </si>
  <si>
    <t xml:space="preserve">Marcar en cada tarea si ocupa analista, equipo o ambos.</t>
  </si>
  <si>
    <t xml:space="preserve">Disponibilidad cruzada de recursos</t>
  </si>
  <si>
    <t xml:space="preserve">P12</t>
  </si>
  <si>
    <t xml:space="preserve">Analista como recurso secundario</t>
  </si>
  <si>
    <t xml:space="preserve">El analista solo se requiere en tareas específicas; el equipo, durante todo el análisis</t>
  </si>
  <si>
    <t xml:space="preserve">p. 9017, §3.3</t>
  </si>
  <si>
    <t xml:space="preserve">Doble restricción: el equipo se ocupa entero y el analista por tramos.</t>
  </si>
  <si>
    <t xml:space="preserve">P13</t>
  </si>
  <si>
    <t xml:space="preserve">Unidad de análisis</t>
  </si>
  <si>
    <t xml:space="preserve">La pareja muestra/análisis es una entidad y se procesa en un solo equipo</t>
  </si>
  <si>
    <t xml:space="preserve">p. 9017, §3.3 (supuesto 1)</t>
  </si>
  <si>
    <t xml:space="preserve">Coincide con la unidad de análisis del anteproyecto (§1.4).</t>
  </si>
  <si>
    <t xml:space="preserve">Variabilidad y consistencia estructural</t>
  </si>
  <si>
    <t xml:space="preserve">P14</t>
  </si>
  <si>
    <t xml:space="preserve">Ensayos por muestra</t>
  </si>
  <si>
    <t xml:space="preserve">85 % de las muestras con 1 ensayo, ~10 % con 2 y ~5 % con 3</t>
  </si>
  <si>
    <t xml:space="preserve">% de muestras</t>
  </si>
  <si>
    <t xml:space="preserve">Número de actividades por muestra (ver hoja Demanda).</t>
  </si>
  <si>
    <t xml:space="preserve">P15</t>
  </si>
  <si>
    <t xml:space="preserve">Tipos de trabajo (Tabla 1)</t>
  </si>
  <si>
    <t xml:space="preserve">A: 3 operaciones con precedencia (tiempos 3, 2, 1) · B: 2 operaciones (5, 4) · C: 1 operación (1)</t>
  </si>
  <si>
    <t xml:space="preserve">unidades de tiempo</t>
  </si>
  <si>
    <t xml:space="preserve">p. 1424, Tabla 1</t>
  </si>
  <si>
    <t xml:space="preserve">Plantillas de muestra con precedencias entre ensayos.</t>
  </si>
  <si>
    <t xml:space="preserve">P16</t>
  </si>
  <si>
    <t xml:space="preserve">Operaciones por trabajo en Martins</t>
  </si>
  <si>
    <t xml:space="preserve">Distribución uniforme discreta DU(1, 3); 3 tipos de trabajo</t>
  </si>
  <si>
    <t xml:space="preserve">operaciones</t>
  </si>
  <si>
    <t xml:space="preserve">p. 191; Tabla 3, p. 192</t>
  </si>
  <si>
    <t xml:space="preserve">Alternativa para generar el número de ensayos por muestra.</t>
  </si>
  <si>
    <t xml:space="preserve">P17</t>
  </si>
  <si>
    <t xml:space="preserve">Validez de la idoneidad del sistema</t>
  </si>
  <si>
    <t xml:space="preserve">24 h: no se repite dentro de 24 h salvo que llegue un método distinto al mismo equipo</t>
  </si>
  <si>
    <t xml:space="preserve">h</t>
  </si>
  <si>
    <t xml:space="preserve">p. 9017, §3.3 (supuesto 2)</t>
  </si>
  <si>
    <t xml:space="preserve">Regla de montaje: ahorra la idoneidad si el equipo ya está apto para ese método.</t>
  </si>
  <si>
    <t xml:space="preserve">P18</t>
  </si>
  <si>
    <t xml:space="preserve">Duraciones</t>
  </si>
  <si>
    <t xml:space="preserve">Distribuciones de tiempos por técnica y tarea (Tabla 3)</t>
  </si>
  <si>
    <t xml:space="preserve">Tres puntos (mín, moda, máx) por técnica y tarea; ver hoja Duraciones</t>
  </si>
  <si>
    <t xml:space="preserve">min</t>
  </si>
  <si>
    <t xml:space="preserve">p. 9016, Tabla 3</t>
  </si>
  <si>
    <t xml:space="preserve">Parámetros a, m, b de BetaPERT para cada técnica y tarea.</t>
  </si>
  <si>
    <t xml:space="preserve">P19</t>
  </si>
  <si>
    <t xml:space="preserve">Origen de los tiempos</t>
  </si>
  <si>
    <t xml:space="preserve">Corrida y número de preparaciones: deterministas, de los informes de métodos · Tareas del analista: distribuciones ajustadas a un estudio de tiempos de un mes</t>
  </si>
  <si>
    <t xml:space="preserve">p. 9016, §3.1–3.2</t>
  </si>
  <si>
    <t xml:space="preserve">Justifica qué tiempos son estocásticos y cuáles fijos.</t>
  </si>
  <si>
    <t xml:space="preserve">P20</t>
  </si>
  <si>
    <t xml:space="preserve">Preparación proporcional al número de soluciones</t>
  </si>
  <si>
    <t xml:space="preserve">Tiempo de preparación del sistema o del análisis = tiempo de preparación de muestra (Tabla 3) × número de muestras/soluciones</t>
  </si>
  <si>
    <t xml:space="preserve">p. 9019, §4.1</t>
  </si>
  <si>
    <t xml:space="preserve">Dependencia estructural duración–n.º de soluciones (base para la correlación).</t>
  </si>
  <si>
    <t xml:space="preserve">P21</t>
  </si>
  <si>
    <t xml:space="preserve">Tiempos promedio simulados por tarea (Tabla 6)</t>
  </si>
  <si>
    <t xml:space="preserve">Promedios ± desviación por técnica; ver hoja Duraciones</t>
  </si>
  <si>
    <t xml:space="preserve">p. 9019, Tabla 6</t>
  </si>
  <si>
    <t xml:space="preserve">Referencia para validar que el generador reproduce promedios plausibles.</t>
  </si>
  <si>
    <t xml:space="preserve">P22</t>
  </si>
  <si>
    <t xml:space="preserve">Tiempos promedio por tarea: expertos vs. medidos (Tabla 2)</t>
  </si>
  <si>
    <t xml:space="preserve">Ver hoja Duraciones (total 662 min estimado por expertos vs. 529 min medido)</t>
  </si>
  <si>
    <t xml:space="preserve">p. 74, Tabla 2</t>
  </si>
  <si>
    <t xml:space="preserve">Calibrar duración total por ensayo y el sesgo de la estimación experta.</t>
  </si>
  <si>
    <t xml:space="preserve">P23</t>
  </si>
  <si>
    <t xml:space="preserve">Sesgo de la estimación experta</t>
  </si>
  <si>
    <t xml:space="preserve">Los expertos sobreestiman: 33 % (preparación del sistema), 36 % (idoneidad), 18 % (preparación de muestra), 2 % (corrida); 20 % en el total</t>
  </si>
  <si>
    <t xml:space="preserve">%</t>
  </si>
  <si>
    <t xml:space="preserve">p. 74, §4</t>
  </si>
  <si>
    <t xml:space="preserve">Duración «estimada por el supervisor» que usa la regla experta (O3).</t>
  </si>
  <si>
    <t xml:space="preserve">Evaluación O3 (políticas e indicadores)</t>
  </si>
  <si>
    <t xml:space="preserve">P24</t>
  </si>
  <si>
    <t xml:space="preserve">Rango de duración total por ensayo</t>
  </si>
  <si>
    <t xml:space="preserve">El 90 % de los ensayos está entre 458 y 786 min de tiempo total promedio</t>
  </si>
  <si>
    <t xml:space="preserve">Chequeo de rango: % de ensayos simulados dentro de 458–786 min.</t>
  </si>
  <si>
    <t xml:space="preserve">P25</t>
  </si>
  <si>
    <t xml:space="preserve">Fuentes de variabilidad de la duración</t>
  </si>
  <si>
    <t xml:space="preserve">Primero la técnica analítica, luego el método y la especificación del cliente (grado químico)</t>
  </si>
  <si>
    <t xml:space="preserve">Variables explicativas para el O2 (técnica, método, grado).</t>
  </si>
  <si>
    <t xml:space="preserve">P26</t>
  </si>
  <si>
    <t xml:space="preserve">Fallas y repeticiones de tareas</t>
  </si>
  <si>
    <t xml:space="preserve">Algunas subtareas fallan y deben repetirse; la tasa es difícil de predecir (sin valor numérico)</t>
  </si>
  <si>
    <t xml:space="preserve">Respalda la perturbación de reanálisis; la tasa queda como supuesto (hoja Supuestos).</t>
  </si>
  <si>
    <t xml:space="preserve">Perturbaciones (Alcance II)</t>
  </si>
  <si>
    <t xml:space="preserve">P27</t>
  </si>
  <si>
    <t xml:space="preserve">Ocupación parcial del analista (Martins)</t>
  </si>
  <si>
    <t xml:space="preserve">Tareas del analista al 0 %, 30 % y 90 % del procesamiento, con duración de 5 %, 10 % y 10 % del tiempo (montaje, intermedia, desmontaje/datos)</t>
  </si>
  <si>
    <t xml:space="preserve">% del tiempo de la operación</t>
  </si>
  <si>
    <t xml:space="preserve">Tramos de la operación en que el analista está ocupado.</t>
  </si>
  <si>
    <t xml:space="preserve">P28</t>
  </si>
  <si>
    <t xml:space="preserve">Intervenciones del analista (Cunha, Tabla 2)</t>
  </si>
  <si>
    <t xml:space="preserve">Montaje 0–0,25; intermedia (A1: 1–2; B1: 2–3; B2: 1–2); desmontaje (A1: 2,75–3; A2 y A3: 0,75–1; B1: 4–5; B2: 3–4; C1: 0,75–1)</t>
  </si>
  <si>
    <t xml:space="preserve">p. 1424, Tabla 2</t>
  </si>
  <si>
    <t xml:space="preserve">Alternativa a Martins para los tramos del analista.</t>
  </si>
  <si>
    <t xml:space="preserve">P29</t>
  </si>
  <si>
    <t xml:space="preserve">Analista multitarea</t>
  </si>
  <si>
    <t xml:space="preserve">Un analista puede llevar varias tareas a la vez; se requiere solo un porcentaje del tiempo total de la tarea (razón r_t, ec. 1)</t>
  </si>
  <si>
    <t xml:space="preserve">Permitir que un analista atienda varias corridas en paralelo.</t>
  </si>
  <si>
    <t xml:space="preserve">P30</t>
  </si>
  <si>
    <t xml:space="preserve">Elegibilidad y competencias</t>
  </si>
  <si>
    <t xml:space="preserve">Competencias únicas</t>
  </si>
  <si>
    <t xml:space="preserve">Analistas y equipos pueden tener competencias únicas, lo que dificulta la asignación</t>
  </si>
  <si>
    <t xml:space="preserve">p. 65, §2.1.2</t>
  </si>
  <si>
    <t xml:space="preserve">Matriz de calificación con analistas y equipos no intercambiables.</t>
  </si>
  <si>
    <t xml:space="preserve">P31</t>
  </si>
  <si>
    <t xml:space="preserve">Flexibilidad de recursos (Martins)</t>
  </si>
  <si>
    <t xml:space="preserve">Probabilidad de que cada analista y cada máquina sea elegible para una operación: f = 0,3 y f = 0,6</t>
  </si>
  <si>
    <t xml:space="preserve">probabilidad</t>
  </si>
  <si>
    <t xml:space="preserve">Generar la matriz analista–actividad y equipo–actividad (dos niveles de flexibilidad).</t>
  </si>
  <si>
    <t xml:space="preserve">P32</t>
  </si>
  <si>
    <t xml:space="preserve">Elegibilidad por tipo de trabajo (Cunha, Tabla 6)</t>
  </si>
  <si>
    <t xml:space="preserve">A: analista a1, máquina m15 · B: a2, m12–m15 · C: a3–a5, m1–m12</t>
  </si>
  <si>
    <t xml:space="preserve">p. 1425, Tabla 6</t>
  </si>
  <si>
    <t xml:space="preserve">Ejemplo de elegibilidad asimétrica (más recursos para el trabajo más frecuente).</t>
  </si>
  <si>
    <t xml:space="preserve">P33</t>
  </si>
  <si>
    <t xml:space="preserve">Elegibilidad promedio en el TLSP</t>
  </si>
  <si>
    <t xml:space="preserve">En promedio, 5 mesas de trabajo y 6 empleados calificados por trabajo; los modos requieren de 0 a 2 empleados</t>
  </si>
  <si>
    <t xml:space="preserve">Mischek y Musliu (2021)</t>
  </si>
  <si>
    <t xml:space="preserve">p. 550, §4.2</t>
  </si>
  <si>
    <t xml:space="preserve">Referencia de densidad de elegibilidad para el contraste estructural.</t>
  </si>
  <si>
    <t xml:space="preserve">P34</t>
  </si>
  <si>
    <t xml:space="preserve">Simplificación de Costigliola</t>
  </si>
  <si>
    <t xml:space="preserve">En su modelo los analistas pueden hacer cualquier trabajo sin importar el turno; en la realidad cada turno atiende pocos tipos de operación</t>
  </si>
  <si>
    <t xml:space="preserve">p. 9017, §3.3 (supuesto 3)</t>
  </si>
  <si>
    <t xml:space="preserve">Su modelo no restringe por calificación; el de ustedes sí (diferencia a declarar).</t>
  </si>
  <si>
    <t xml:space="preserve">P35</t>
  </si>
  <si>
    <t xml:space="preserve">Demanda y plazos</t>
  </si>
  <si>
    <t xml:space="preserve">Mezcla de análisis por técnica (Tabla 2)</t>
  </si>
  <si>
    <t xml:space="preserve">HPLC 40,7 %, GC 25,7 %, PSA 18,8 %, KF 7,1 %, DSC 4,0 %, XRPD 3,7 %</t>
  </si>
  <si>
    <t xml:space="preserve">% de análisis</t>
  </si>
  <si>
    <t xml:space="preserve">p. 9016, Tabla 2</t>
  </si>
  <si>
    <t xml:space="preserve">Probabilidad de la técnica de cada actividad (hoja Demanda).</t>
  </si>
  <si>
    <t xml:space="preserve">P36</t>
  </si>
  <si>
    <t xml:space="preserve">Volumen anual por técnica (Tabla 4, año 2015)</t>
  </si>
  <si>
    <t xml:space="preserve">HPLC 6099, GC 3910, PSA 3014, KF 1240, DSC 581, XRPD 479 análisis requeridos</t>
  </si>
  <si>
    <t xml:space="preserve">análisis/año</t>
  </si>
  <si>
    <t xml:space="preserve">p. 9018, Tabla 4</t>
  </si>
  <si>
    <t xml:space="preserve">Tasa de llegadas del escenario base (hoja Demanda).</t>
  </si>
  <si>
    <t xml:space="preserve">P37</t>
  </si>
  <si>
    <t xml:space="preserve">Volumen en el laboratorio de Coito</t>
  </si>
  <si>
    <t xml:space="preserve">Más de 2000 ensayos distintos; unas decenas de miles de ensayos al año</t>
  </si>
  <si>
    <t xml:space="preserve">Orden de magnitud del catálogo de métodos y del volumen anual.</t>
  </si>
  <si>
    <t xml:space="preserve">P38</t>
  </si>
  <si>
    <t xml:space="preserve">Carga diaria realista</t>
  </si>
  <si>
    <t xml:space="preserve">30 a 40 trabajos y 35 a 52 operaciones por día (basado en Costigliola et al., 2017)</t>
  </si>
  <si>
    <t xml:space="preserve">por día</t>
  </si>
  <si>
    <t xml:space="preserve">pp. 1424–1425, §4</t>
  </si>
  <si>
    <t xml:space="preserve">Chequeo de la tasa diaria del escenario base.</t>
  </si>
  <si>
    <t xml:space="preserve">P39</t>
  </si>
  <si>
    <t xml:space="preserve">Carga diaria y semanal en Martins</t>
  </si>
  <si>
    <t xml:space="preserve">10 trabajos (diaria) y 70 trabajos (semanal)</t>
  </si>
  <si>
    <t xml:space="preserve">trabajos</t>
  </si>
  <si>
    <t xml:space="preserve">pp. 190–191, §6</t>
  </si>
  <si>
    <t xml:space="preserve">Tamaño de instancias de prueba del prototipo.</t>
  </si>
  <si>
    <t xml:space="preserve">P40</t>
  </si>
  <si>
    <t xml:space="preserve">Tiempo promedio en el sistema por técnica (Tabla 5)</t>
  </si>
  <si>
    <t xml:space="preserve">HPLC 31 ± 1 h · GC 10,0 ± 0,8 h · PSA 4,0 ± 0,5 h · KF 3,0 ± 0,5 h · DSC 5,0 ± 0,8 h · XRPD 6,0 ± 0,6 h</t>
  </si>
  <si>
    <t xml:space="preserve">p. 9018, Tabla 5</t>
  </si>
  <si>
    <t xml:space="preserve">Anclar las fechas de entrega por técnica.</t>
  </si>
  <si>
    <t xml:space="preserve">P41</t>
  </si>
  <si>
    <t xml:space="preserve">Prioridad por tipo de muestra</t>
  </si>
  <si>
    <t xml:space="preserve">Control en proceso: unas 2 h en el sistema; baja prioridad (p. ej. materia prima): puede procesarse hasta una semana después</t>
  </si>
  <si>
    <t xml:space="preserve">h / días</t>
  </si>
  <si>
    <t xml:space="preserve">p. 9018, §4.1</t>
  </si>
  <si>
    <t xml:space="preserve">Anclar las fechas de entrega por tipo de muestra.</t>
  </si>
  <si>
    <t xml:space="preserve">P42</t>
  </si>
  <si>
    <t xml:space="preserve">Muestras urgentes</t>
  </si>
  <si>
    <t xml:space="preserve">Llegan muestras inesperadas con máxima prioridad que obligan a reprogramar en tiempo real (sin porcentaje)</t>
  </si>
  <si>
    <t xml:space="preserve">Respalda la perturbación de urgentes; el porcentaje queda como supuesto.</t>
  </si>
  <si>
    <t xml:space="preserve">P43</t>
  </si>
  <si>
    <t xml:space="preserve">Muestras que superan 24 h</t>
  </si>
  <si>
    <t xml:space="preserve">Un número considerable de muestras permanece más de 24 h en el laboratorio</t>
  </si>
  <si>
    <t xml:space="preserve">p. 180, §2.1</t>
  </si>
  <si>
    <t xml:space="preserve">Chequeo cualitativo de tiempos en sistema.</t>
  </si>
  <si>
    <t xml:space="preserve">P44</t>
  </si>
  <si>
    <t xml:space="preserve">Ventanas de tiempo en el TLSP</t>
  </si>
  <si>
    <t xml:space="preserve">Cada tarea tiene fecha de liberación, fecha de entrega (blanda) y fecha límite (dura)</t>
  </si>
  <si>
    <t xml:space="preserve">p. 539, §3.1.2</t>
  </si>
  <si>
    <t xml:space="preserve">Modelar plazo objetivo y plazo máximo por actividad.</t>
  </si>
  <si>
    <t xml:space="preserve">P45</t>
  </si>
  <si>
    <t xml:space="preserve">Escenarios y perturbaciones</t>
  </si>
  <si>
    <t xml:space="preserve">Escenario de sobrecarga</t>
  </si>
  <si>
    <t xml:space="preserve">+50 % de muestras respecto al periodo base (escenario 2)</t>
  </si>
  <si>
    <t xml:space="preserve">p. 9019, §4.2 y Tabla 7</t>
  </si>
  <si>
    <t xml:space="preserve">Escenario de carga alta (hoja Demanda).</t>
  </si>
  <si>
    <t xml:space="preserve">P46</t>
  </si>
  <si>
    <t xml:space="preserve">Cuello de botella esperado</t>
  </si>
  <si>
    <t xml:space="preserve">Con +50 % de carga faltan analistas; el número de equipos alcanza</t>
  </si>
  <si>
    <t xml:space="preserve">p. 9019, §4.2 y §5</t>
  </si>
  <si>
    <t xml:space="preserve">Chequeo de plausibilidad: en carga alta la restricción debe ser de analistas.</t>
  </si>
  <si>
    <t xml:space="preserve">P47</t>
  </si>
  <si>
    <t xml:space="preserve">Políticas e indicadores</t>
  </si>
  <si>
    <t xml:space="preserve">Política de cola del laboratorio real</t>
  </si>
  <si>
    <t xml:space="preserve">Maximum lateness first: ordenar para minimizar el retraso máximo (fin estimado − fecha de entrega)</t>
  </si>
  <si>
    <t xml:space="preserve">Base para definir la regla experta (O3).</t>
  </si>
  <si>
    <t xml:space="preserve">P48</t>
  </si>
  <si>
    <t xml:space="preserve">Heurística alternativa de Costigliola</t>
  </si>
  <si>
    <t xml:space="preserve">Preferir el equipo que ya está apto para el método; si tiene 5 o más muestras en cola, preferir uno con cola más corta</t>
  </si>
  <si>
    <t xml:space="preserve">p. 9019, §4.2</t>
  </si>
  <si>
    <t xml:space="preserve">Segundo ingrediente posible de la regla experta.</t>
  </si>
  <si>
    <t xml:space="preserve">P49</t>
  </si>
  <si>
    <t xml:space="preserve">Reglas de despacho usadas en la literatura</t>
  </si>
  <si>
    <t xml:space="preserve">FIFO, FSFO, aleatoria y SPT (Scholz-Reiter et al., 2009); SPT, EDD, FIFO y LPT (El Maraghy et al., 2000)</t>
  </si>
  <si>
    <t xml:space="preserve">pp. 181–182, §2.2</t>
  </si>
  <si>
    <t xml:space="preserve">Respalda FIFO y aleatoria como políticas de referencia.</t>
  </si>
  <si>
    <t xml:space="preserve">P50</t>
  </si>
  <si>
    <t xml:space="preserve">Criterios de orden de Ruiz-Torres et al. (2012)</t>
  </si>
  <si>
    <t xml:space="preserve">Fecha de entrega, número de ensayos restantes del trabajo, técnicos disponibles y hora de llegada</t>
  </si>
  <si>
    <t xml:space="preserve">Ingredientes para la regla experta y la regla informada.</t>
  </si>
  <si>
    <t xml:space="preserve">P51</t>
  </si>
  <si>
    <t xml:space="preserve">Indicadores de Costigliola</t>
  </si>
  <si>
    <t xml:space="preserve">Throughput, tasa de uso de equipos (tiempo operativo / tiempo disponible), tiempo en el sistema y tiempos por tarea</t>
  </si>
  <si>
    <t xml:space="preserve">p. 9018, §4</t>
  </si>
  <si>
    <t xml:space="preserve">Complementan makespan, tardanza y cumplimiento del anteproyecto.</t>
  </si>
  <si>
    <t xml:space="preserve">P52</t>
  </si>
  <si>
    <t xml:space="preserve">Validación del modelo de Costigliola</t>
  </si>
  <si>
    <t xml:space="preserve">Diferencia promedio de 1,5 % entre la tasa de uso real y la simulada</t>
  </si>
  <si>
    <t xml:space="preserve">Referencia para la validación del entorno simulado.</t>
  </si>
  <si>
    <t xml:space="preserve">P53</t>
  </si>
  <si>
    <t xml:space="preserve">Límite del enfoque exacto</t>
  </si>
  <si>
    <t xml:space="preserve">El MILP no garantiza el óptimo en 1 h con 35–52 operaciones (brecha de 66,67 % y 75 %)</t>
  </si>
  <si>
    <t xml:space="preserve">p. 1425, Tabla 7</t>
  </si>
  <si>
    <t xml:space="preserve">Justifica usar una regla de despacho y no un optimizador exacto.</t>
  </si>
  <si>
    <t xml:space="preserve">P54</t>
  </si>
  <si>
    <t xml:space="preserve">Contraste estructural</t>
  </si>
  <si>
    <t xml:space="preserve">Recursos del TLSP</t>
  </si>
  <si>
    <t xml:space="preserve">Empleados calificados, mesas de trabajo (equivalentes a máquinas) y grupos de equipos auxiliares; franja de tiempo = medio día</t>
  </si>
  <si>
    <t xml:space="preserve">p. 538, §3.1.1</t>
  </si>
  <si>
    <t xml:space="preserve">Mapear sus recursos a analistas y equipos para el contraste (1 nov).</t>
  </si>
  <si>
    <t xml:space="preserve">P55</t>
  </si>
  <si>
    <t xml:space="preserve">Modos de tarea en el TLSP (Tabla 2)</t>
  </si>
  <si>
    <t xml:space="preserve">Single (velocidad 1, 1 empleado), Shift (0,6; 2 empleados), External (1; 0 empleados)</t>
  </si>
  <si>
    <t xml:space="preserve">p. 548, Tabla 2</t>
  </si>
  <si>
    <t xml:space="preserve">Diferencia estructural a comentar en el contraste.</t>
  </si>
  <si>
    <t xml:space="preserve">P56</t>
  </si>
  <si>
    <t xml:space="preserve">Conjuntos públicos de instancias</t>
  </si>
  <si>
    <t xml:space="preserve">General y LabStructure, 60 instancias cada uno; de 5 proyectos en 88 franjas a 90 proyectos en 782; ~4 trabajos por proyecto; ≈5 % de trabajos fijos; 3 instancias reales anonimizadas</t>
  </si>
  <si>
    <t xml:space="preserve">Instancias para el contraste estructural (descarga en la página de TU Wien).</t>
  </si>
  <si>
    <t xml:space="preserve">P57</t>
  </si>
  <si>
    <t xml:space="preserve">Código fuente de Martins et al.</t>
  </si>
  <si>
    <t xml:space="preserve">Repositorio público en GitHub (miguelsem/Minimizing-total-completion-time-in-large-sized-pharmaceutical-quality-control-scheduling)</t>
  </si>
  <si>
    <t xml:space="preserve">p. 192, nota 1</t>
  </si>
  <si>
    <t xml:space="preserve">Revisar cómo generan sus instancias (referencia para el contraste).</t>
  </si>
  <si>
    <t xml:space="preserve">Duraciones: tres puntos por técnica y tarea</t>
  </si>
  <si>
    <t xml:space="preserve">Costigliola et al. (2017), Tabla 3, p. 9016. Minutos. a = mínimo, m = moda, b = máximo. Media y desviación PERT calculadas con fórmula.</t>
  </si>
  <si>
    <t xml:space="preserve">Técnica</t>
  </si>
  <si>
    <t xml:space="preserve">Tarea</t>
  </si>
  <si>
    <t xml:space="preserve">Distribución original</t>
  </si>
  <si>
    <t xml:space="preserve">a (mín)</t>
  </si>
  <si>
    <t xml:space="preserve">m (moda)</t>
  </si>
  <si>
    <t xml:space="preserve">b (máx)</t>
  </si>
  <si>
    <t xml:space="preserve">Media PERT (a+4m+b)/6</t>
  </si>
  <si>
    <t xml:space="preserve">Desv. PERT (b−a)/6</t>
  </si>
  <si>
    <t xml:space="preserve">Media triangular (a+m+b)/3</t>
  </si>
  <si>
    <t xml:space="preserve">Nota</t>
  </si>
  <si>
    <t xml:space="preserve">HPLC</t>
  </si>
  <si>
    <t xml:space="preserve">Preparación de muestra</t>
  </si>
  <si>
    <t xml:space="preserve">T(5, 40, 100)</t>
  </si>
  <si>
    <t xml:space="preserve">Montaje del equipo</t>
  </si>
  <si>
    <t xml:space="preserve">T(25, 50, 65)</t>
  </si>
  <si>
    <t xml:space="preserve">Corrida</t>
  </si>
  <si>
    <t xml:space="preserve">Det.</t>
  </si>
  <si>
    <t xml:space="preserve">Dato + supuesto</t>
  </si>
  <si>
    <t xml:space="preserve">Determinista en la fuente (sale del informe de cada método, no se publica). Ver hoja Supuestos, S05.</t>
  </si>
  <si>
    <t xml:space="preserve">Procesamiento de datos</t>
  </si>
  <si>
    <t xml:space="preserve">T(2, 5, 10)</t>
  </si>
  <si>
    <t xml:space="preserve">GC</t>
  </si>
  <si>
    <t xml:space="preserve">T(5, 10, 35)</t>
  </si>
  <si>
    <t xml:space="preserve">T(2, 5, 30)</t>
  </si>
  <si>
    <t xml:space="preserve">T(10, 20, 45)</t>
  </si>
  <si>
    <t xml:space="preserve">PSA</t>
  </si>
  <si>
    <t xml:space="preserve">T(5, 7.5, 21)</t>
  </si>
  <si>
    <t xml:space="preserve">U(1, 32)</t>
  </si>
  <si>
    <t xml:space="preserve">La fuente da una uniforme U(mín, máx). Para BetaPERT se propone la moda en el punto medio (supuesto); también pueden dejarla uniforme.</t>
  </si>
  <si>
    <t xml:space="preserve">T(5, 10, 30)</t>
  </si>
  <si>
    <t xml:space="preserve">T(2, 6, 10)</t>
  </si>
  <si>
    <t xml:space="preserve">KF</t>
  </si>
  <si>
    <t xml:space="preserve">T(1, 6, 25)</t>
  </si>
  <si>
    <t xml:space="preserve">T(4, 8, 16)</t>
  </si>
  <si>
    <t xml:space="preserve">T(2, 5, 56)</t>
  </si>
  <si>
    <t xml:space="preserve">T(10, 20, 30)</t>
  </si>
  <si>
    <t xml:space="preserve">DSC</t>
  </si>
  <si>
    <t xml:space="preserve">T(1, 3, 12)</t>
  </si>
  <si>
    <t xml:space="preserve">U(12, 180)</t>
  </si>
  <si>
    <t xml:space="preserve">T(4, 9, 16)</t>
  </si>
  <si>
    <t xml:space="preserve">XRPD</t>
  </si>
  <si>
    <t xml:space="preserve">T(5, 10, 20)</t>
  </si>
  <si>
    <t xml:space="preserve">T(1, 5, 20)</t>
  </si>
  <si>
    <t xml:space="preserve">T(11, 25, 203)</t>
  </si>
  <si>
    <t xml:space="preserve">T(2, 7, 30)</t>
  </si>
  <si>
    <t xml:space="preserve">Fuente: Costigliola et al. (2017), Tabla 3, p. 9016. La conversión de triangular a BetaPERT con los mismos tres puntos es una adaptación propia (declararla en la metodología).</t>
  </si>
  <si>
    <t xml:space="preserve">Tiempos promedio por tarea del modelo de Costigliola (Tabla 6, p. 9019) · min · promedio ± desviación entre corridas</t>
  </si>
  <si>
    <t xml:space="preserve">Prep. del sistema</t>
  </si>
  <si>
    <t xml:space="preserve">Idoneidad del sistema</t>
  </si>
  <si>
    <t xml:space="preserve">Prep. del análisis</t>
  </si>
  <si>
    <t xml:space="preserve">Análisis</t>
  </si>
  <si>
    <t xml:space="preserve">Proc. de datos</t>
  </si>
  <si>
    <t xml:space="preserve">207 ± 14</t>
  </si>
  <si>
    <t xml:space="preserve">227 ± 11</t>
  </si>
  <si>
    <t xml:space="preserve">96 ± 3</t>
  </si>
  <si>
    <t xml:space="preserve">85 ± 1</t>
  </si>
  <si>
    <t xml:space="preserve">59 ± 2</t>
  </si>
  <si>
    <t xml:space="preserve">67 ± 5</t>
  </si>
  <si>
    <t xml:space="preserve">152 ± 5</t>
  </si>
  <si>
    <t xml:space="preserve">48 ± 1</t>
  </si>
  <si>
    <t xml:space="preserve">62 ± 1</t>
  </si>
  <si>
    <t xml:space="preserve">39 ± 1</t>
  </si>
  <si>
    <t xml:space="preserve">n.a.</t>
  </si>
  <si>
    <t xml:space="preserve">31 ± 1</t>
  </si>
  <si>
    <t xml:space="preserve">32 ± 1</t>
  </si>
  <si>
    <t xml:space="preserve">16 ± 1</t>
  </si>
  <si>
    <t xml:space="preserve">45 ± 3</t>
  </si>
  <si>
    <t xml:space="preserve">30 ± 2</t>
  </si>
  <si>
    <t xml:space="preserve">29 ± 2</t>
  </si>
  <si>
    <t xml:space="preserve">47 ± 2</t>
  </si>
  <si>
    <t xml:space="preserve">101 ± 3</t>
  </si>
  <si>
    <t xml:space="preserve">24 ± 2</t>
  </si>
  <si>
    <t xml:space="preserve">46 ± 1</t>
  </si>
  <si>
    <t xml:space="preserve">88 ± 3</t>
  </si>
  <si>
    <t xml:space="preserve">30 ± 1</t>
  </si>
  <si>
    <t xml:space="preserve">Uso: referencia de validación (los promedios del generador deberían quedar en ese orden de magnitud). Prep. del sistema/análisis = prep. de muestra × n.º de soluciones (p. 9019).</t>
  </si>
  <si>
    <t xml:space="preserve">Tiempos promedio por tarea: estimación de expertos vs. medición (Coito et al., 2021, Tabla 2, p. 74) · min</t>
  </si>
  <si>
    <t xml:space="preserve">Expertos (sistema anterior)</t>
  </si>
  <si>
    <t xml:space="preserve">Medido (sistema propuesto)</t>
  </si>
  <si>
    <t xml:space="preserve">Diferencia (fórmula)</t>
  </si>
  <si>
    <t xml:space="preserve">Reducción (fórmula)</t>
  </si>
  <si>
    <t xml:space="preserve">Reducción reportada</t>
  </si>
  <si>
    <t xml:space="preserve">Preparación del sistema</t>
  </si>
  <si>
    <t xml:space="preserve">Corrida analítica</t>
  </si>
  <si>
    <t xml:space="preserve">Total (suma)</t>
  </si>
  <si>
    <t xml:space="preserve">La fuente reporta un total de 662 min (expertos) y 529 min (medido); la suma de la tabla debe coincidir. El 90 % de los ensayos queda entre 458 y 786 min (p. 74).</t>
  </si>
  <si>
    <t xml:space="preserve">Demanda: mezcla, volumen y escenarios de carga</t>
  </si>
  <si>
    <t xml:space="preserve">Datos de Costigliola et al. (2017) y Cunha et al. (2019). Las celdas amarillas son supuestos que pueden cambiar.</t>
  </si>
  <si>
    <t xml:space="preserve">% de análisis (Tabla 2)</t>
  </si>
  <si>
    <t xml:space="preserve">Análisis requeridos al año (Tabla 4)</t>
  </si>
  <si>
    <t xml:space="preserve">% según Tabla 4 (fórmula)</t>
  </si>
  <si>
    <t xml:space="preserve">Promedio por día calendario (fórmula)</t>
  </si>
  <si>
    <t xml:space="preserve">Promedio por día hábil (fórmula)</t>
  </si>
  <si>
    <t xml:space="preserve">Total</t>
  </si>
  <si>
    <t xml:space="preserve">Fuente: Costigliola et al. (2017), Tabla 2 (p. 9016) y Tabla 4 (p. 9018, año 2015). Las dos tablas no coinciden exactamente porque vienen de bases distintas; elijan una y decláralo.</t>
  </si>
  <si>
    <t xml:space="preserve">Días calendario al año</t>
  </si>
  <si>
    <t xml:space="preserve">El control en proceso funciona 24/7 (Costigliola, p. 9015).</t>
  </si>
  <si>
    <t xml:space="preserve">Días hábiles al año</t>
  </si>
  <si>
    <t xml:space="preserve">Supuesto: 52 semanas × 5 días (estabilidad, desarrollo y validación van de lunes a viernes, p. 9015).</t>
  </si>
  <si>
    <t xml:space="preserve">Ensayos por muestra (Cunha et al., 2019, p. 1425)</t>
  </si>
  <si>
    <t xml:space="preserve">N.º de ensayos</t>
  </si>
  <si>
    <t xml:space="preserve">Aporte (fórmula)</t>
  </si>
  <si>
    <t xml:space="preserve">Ensayos promedio por muestra</t>
  </si>
  <si>
    <t xml:space="preserve">Chequeo: los % suman</t>
  </si>
  <si>
    <t xml:space="preserve">Escenarios de carga (análisis por día calendario)</t>
  </si>
  <si>
    <t xml:space="preserve">Escenario</t>
  </si>
  <si>
    <t xml:space="preserve">Multiplicador</t>
  </si>
  <si>
    <t xml:space="preserve">Análisis por día (fórmula)</t>
  </si>
  <si>
    <t xml:space="preserve">Muestras por día (fórmula)</t>
  </si>
  <si>
    <t xml:space="preserve">Origen</t>
  </si>
  <si>
    <t xml:space="preserve">Baja</t>
  </si>
  <si>
    <t xml:space="preserve">Supuesto: −30 % respecto a la base (pueden cambiarlo).</t>
  </si>
  <si>
    <t xml:space="preserve">Base</t>
  </si>
  <si>
    <t xml:space="preserve">Volumen 2015 de Costigliola et al. (2017), Tabla 4.</t>
  </si>
  <si>
    <t xml:space="preserve">Alta</t>
  </si>
  <si>
    <t xml:space="preserve">+50 %, escenario 2 de Costigliola et al. (2017), p. 9019.</t>
  </si>
  <si>
    <t xml:space="preserve">Chequeo con Cunha et al. (2019, pp. 1424–1425): una carga diaria realista tiene 30–40 trabajos y 35–52 operaciones; comparen con la fila Base.</t>
  </si>
  <si>
    <t xml:space="preserve">Supuestos: lo que no está en las fuentes</t>
  </si>
  <si>
    <t xml:space="preserve">Las celdas amarillas son propuestas para arrancar, no datos. Cada una necesita una fuente adicional o declararse como supuesto y probarse con escenarios.</t>
  </si>
  <si>
    <t xml:space="preserve">Qué dicen las fuentes</t>
  </si>
  <si>
    <t xml:space="preserve">Propuesta inicial (supuesto)</t>
  </si>
  <si>
    <t xml:space="preserve">Escenarios para sensibilidad</t>
  </si>
  <si>
    <t xml:space="preserve">Cómo justificarlo</t>
  </si>
  <si>
    <t xml:space="preserve">S01</t>
  </si>
  <si>
    <t xml:space="preserve">Tasa de reanálisis por resultado fuera de especificación (OOS)</t>
  </si>
  <si>
    <t xml:space="preserve">Coito et al. (2021, p. 74) solo dice que hay fallas y repeticiones de tareas; no da tasa.</t>
  </si>
  <si>
    <t xml:space="preserve">0 % · 2 % · 5 %</t>
  </si>
  <si>
    <t xml:space="preserve">Buscar un informe del sector o una fuente regulatoria con tasas de OOS; si no aparece, declararlo como supuesto y mostrar el efecto con los tres escenarios.</t>
  </si>
  <si>
    <t xml:space="preserve">S02</t>
  </si>
  <si>
    <t xml:space="preserve">Indisponibilidad de equipos (fallas o mantenimiento no planificado)</t>
  </si>
  <si>
    <t xml:space="preserve">Coito et al. (2021, p. 74): el laboratorio no medía OEE. Costigliola et al. (2017) no reporta fallas.</t>
  </si>
  <si>
    <t xml:space="preserve">0 % · 5 % · 10 % del tiempo disponible</t>
  </si>
  <si>
    <t xml:space="preserve">Literatura de mantenimiento o de OEE en laboratorios; si no, supuesto con escenarios.</t>
  </si>
  <si>
    <t xml:space="preserve">S03</t>
  </si>
  <si>
    <t xml:space="preserve">Porcentaje de muestras urgentes no planificadas</t>
  </si>
  <si>
    <t xml:space="preserve">Coito et al. (2021, p. 65) confirma que existen y que llegan con máxima prioridad; no da porcentaje.</t>
  </si>
  <si>
    <t xml:space="preserve">5 % · 10 % · 20 %</t>
  </si>
  <si>
    <t xml:space="preserve">Supuesto con escenarios; anclar el plazo de las urgentes al de control en proceso (≈2 h, Costigliola p. 9018).</t>
  </si>
  <si>
    <t xml:space="preserve">S04</t>
  </si>
  <si>
    <t xml:space="preserve">Coeficientes de correlación entre complejidad, n.º de soluciones y duración</t>
  </si>
  <si>
    <t xml:space="preserve">Ninguna fuente da coeficientes. Costigliola et al. (2017, p. 9019) da una relación estructural: preparación = tiempo por muestra × n.º de soluciones.</t>
  </si>
  <si>
    <t xml:space="preserve">ρ = 0,3 · 0,5 · 0,7</t>
  </si>
  <si>
    <t xml:space="preserve">Usar la relación estructural de Costigliola como dependencia principal y el coeficiente solo para el ruido; citar a Hassi et al. (2025), que usan factores de correlación en Monte Carlo con estimaciones de tres puntos (anteproyecto, §5.2).</t>
  </si>
  <si>
    <t xml:space="preserve">S05</t>
  </si>
  <si>
    <t xml:space="preserve">Tiempo de corrida de HPLC y GC</t>
  </si>
  <si>
    <t xml:space="preserve">Determinista en Costigliola et al. (2017, p. 9016), sin valores. Su Tabla 6 (p. 9019) da promedios simulados: HPLC 85 min, GC 62 min.</t>
  </si>
  <si>
    <t xml:space="preserve">Moda = promedio Tabla 6; mín y máx = ±20 %</t>
  </si>
  <si>
    <t xml:space="preserve">±10 % · ±20 % · ±30 %</t>
  </si>
  <si>
    <t xml:space="preserve">Declarar que la moda viene de la Tabla 6 y que el rango es supuesto.</t>
  </si>
  <si>
    <t xml:space="preserve">S06</t>
  </si>
  <si>
    <t xml:space="preserve">Fechas de entrega por tipo de muestra</t>
  </si>
  <si>
    <t xml:space="preserve">Costigliola et al. (2017, p. 9018): control en proceso ≈2 h en el sistema; materia prima hasta una semana. Tabla 5 da el tiempo en sistema por técnica.</t>
  </si>
  <si>
    <t xml:space="preserve">Control en proceso 4 h · producto terminado 48 h · materia prima 5 días · estabilidad 10 días</t>
  </si>
  <si>
    <t xml:space="preserve">Holgura × 0,8 · × 1 · × 1,2</t>
  </si>
  <si>
    <t xml:space="preserve">Supuesto anclado en p. 9018 y Tabla 5; mostrar sensibilidad del cumplimiento de plazos.</t>
  </si>
  <si>
    <t xml:space="preserve">S07</t>
  </si>
  <si>
    <t xml:space="preserve">Efecto de la experiencia del analista en la duración</t>
  </si>
  <si>
    <t xml:space="preserve">Coito et al. (2021, p. 74) menciona diferencias entre analistas según experiencia, sin cuantificarlas.</t>
  </si>
  <si>
    <t xml:space="preserve">× 0,9 sénior · × 1,0 · × 1,15 júnior</t>
  </si>
  <si>
    <t xml:space="preserve">Con y sin efecto</t>
  </si>
  <si>
    <t xml:space="preserve">Supuesto; sirve como variable explicativa en el O2.</t>
  </si>
  <si>
    <t xml:space="preserve">S08</t>
  </si>
  <si>
    <t xml:space="preserve">Número de soluciones o muestras por corrida</t>
  </si>
  <si>
    <t xml:space="preserve">Costigliola et al. (2017, p. 9016) lista los campos (n.º de soluciones e inyecciones) pero no publica valores.</t>
  </si>
  <si>
    <t xml:space="preserve">Uniforme discreta de 1 a 6</t>
  </si>
  <si>
    <t xml:space="preserve">1–4 · 1–6 · 1–10</t>
  </si>
  <si>
    <t xml:space="preserve">Supuesto; es el multiplicador de la preparación (S04).</t>
  </si>
  <si>
    <t xml:space="preserve">S09</t>
  </si>
  <si>
    <t xml:space="preserve">Duración de la tarea de revisión</t>
  </si>
  <si>
    <t xml:space="preserve">Coito et al. (2021, p. 72) la incluye como sexta tarea; ninguna fuente da su duración.</t>
  </si>
  <si>
    <t xml:space="preserve">Incluirla en el procesamiento de datos</t>
  </si>
  <si>
    <t xml:space="preserve">Con y sin revisión separada</t>
  </si>
  <si>
    <t xml:space="preserve">Declarar la simplificación o tomar una fracción del procesamiento de datos como supuesto.</t>
  </si>
  <si>
    <t xml:space="preserve">S10</t>
  </si>
  <si>
    <t xml:space="preserve">Proceso de llegadas</t>
  </si>
  <si>
    <t xml:space="preserve">Costigliola et al. (2017, Tabla 4) da el volumen anual, no la forma de las llegadas.</t>
  </si>
  <si>
    <t xml:space="preserve">Poisson con la tasa de la hoja Demanda</t>
  </si>
  <si>
    <t xml:space="preserve">Poisson · llegadas por lotes diarios</t>
  </si>
  <si>
    <t xml:space="preserve">Supuesto estándar en simulación de eventos discretos; declararlo.</t>
  </si>
  <si>
    <t xml:space="preserve">Referencias para el contraste estructural (bloque del 1 de noviembre)</t>
  </si>
  <si>
    <t xml:space="preserve">Estructura de los laboratorios e instancias publicados. La última fila es para su propio dataset.</t>
  </si>
  <si>
    <t xml:space="preserve">Tipo de instancia</t>
  </si>
  <si>
    <t xml:space="preserve">Trabajos / muestras</t>
  </si>
  <si>
    <t xml:space="preserve">Operaciones por trabajo</t>
  </si>
  <si>
    <t xml:space="preserve">Equipos / máquinas</t>
  </si>
  <si>
    <t xml:space="preserve">Analistas / empleados</t>
  </si>
  <si>
    <t xml:space="preserve">Elegibilidad</t>
  </si>
  <si>
    <t xml:space="preserve">Horizonte</t>
  </si>
  <si>
    <t xml:space="preserve">Laboratorio real (Hovione, 2015)</t>
  </si>
  <si>
    <t xml:space="preserve">15 323 análisis requeridos en el año (Tabla 4)</t>
  </si>
  <si>
    <t xml:space="preserve">1 equipo por análisis</t>
  </si>
  <si>
    <t xml:space="preserve">70 equipos de 6 tipos</t>
  </si>
  <si>
    <t xml:space="preserve">20 analistas en 3 turnos</t>
  </si>
  <si>
    <t xml:space="preserve">Su modelo no restringe por calificación (supuesto 3)</t>
  </si>
  <si>
    <t xml:space="preserve">1 año</t>
  </si>
  <si>
    <t xml:space="preserve">pp. 9015, 9017, 9018</t>
  </si>
  <si>
    <t xml:space="preserve">Instancias mediana-grandes (carga diaria)</t>
  </si>
  <si>
    <t xml:space="preserve">30–40 trabajos</t>
  </si>
  <si>
    <t xml:space="preserve">1–3 (85 % / 10 % / 5 %); 35–52 operaciones en total</t>
  </si>
  <si>
    <t xml:space="preserve">15 máquinas</t>
  </si>
  <si>
    <t xml:space="preserve">5 analistas</t>
  </si>
  <si>
    <t xml:space="preserve">Por tipo de trabajo (Tabla 6)</t>
  </si>
  <si>
    <t xml:space="preserve">1 día</t>
  </si>
  <si>
    <t xml:space="preserve">pp. 1424–1425</t>
  </si>
  <si>
    <t xml:space="preserve">Experimentos (54 instancias)</t>
  </si>
  <si>
    <t xml:space="preserve">5, 10 y 70 trabajos</t>
  </si>
  <si>
    <t xml:space="preserve">DU(1, 3); 3 tipos de trabajo</t>
  </si>
  <si>
    <t xml:space="preserve">7 máquinas</t>
  </si>
  <si>
    <t xml:space="preserve">2, 3 o 7 analistas</t>
  </si>
  <si>
    <t xml:space="preserve">Probabilidad f = 0,3 o 0,6 por recurso</t>
  </si>
  <si>
    <t xml:space="preserve">Diario / semanal</t>
  </si>
  <si>
    <t xml:space="preserve">pp. 190–192</t>
  </si>
  <si>
    <t xml:space="preserve">TLSP: General y LabStructure (60 + 60) y 3 reales</t>
  </si>
  <si>
    <t xml:space="preserve">5–90 proyectos; ~4 trabajos por proyecto</t>
  </si>
  <si>
    <t xml:space="preserve">Tareas agrupadas en trabajos por familia</t>
  </si>
  <si>
    <t xml:space="preserve">Mesas de trabajo + grupos de equipos</t>
  </si>
  <si>
    <t xml:space="preserve">Empleados calificados (0–2 por modo)</t>
  </si>
  <si>
    <t xml:space="preserve">Promedio 5 mesas y 6 empleados por trabajo</t>
  </si>
  <si>
    <t xml:space="preserve">88–782 franjas de medio día</t>
  </si>
  <si>
    <t xml:space="preserve">pp. 538, 548, 550</t>
  </si>
  <si>
    <t xml:space="preserve">Este trabajo</t>
  </si>
  <si>
    <t xml:space="preserve">Laboratorio de referencia sintético</t>
  </si>
  <si>
    <t xml:space="preserve">Completar el 1 de noviembre</t>
  </si>
  <si>
    <t xml:space="preserve">Fuentes (APA 7)</t>
  </si>
  <si>
    <t xml:space="preserve">Las cinco fuentes de calibración y contraste citadas en el anteproyecto.</t>
  </si>
  <si>
    <t xml:space="preserve">Cita corta</t>
  </si>
  <si>
    <t xml:space="preserve">Referencia (APA 7)</t>
  </si>
  <si>
    <t xml:space="preserve">Acceso</t>
  </si>
  <si>
    <t xml:space="preserve">Qué se tomó</t>
  </si>
  <si>
    <t xml:space="preserve">Costigliola, A., Ataíde, F. A. P., Vieira, S. M., &amp; Sousa, J. M. C. (2017). Simulation model of a quality control laboratory in pharmaceutical industry. IFAC-PapersOnLine, 50(1), 9014–9019. https://doi.org/10.1016/j.ifacol.2017.08.1582</t>
  </si>
  <si>
    <t xml:space="preserve">ScienceDirect (acceso gratuito)</t>
  </si>
  <si>
    <t xml:space="preserve">Recursos, turnos, mezcla y volumen por técnica, distribuciones de tiempos, tiempos en sistema, políticas e indicadores.</t>
  </si>
  <si>
    <t xml:space="preserve">Coito, T., Firme, B., Martins, M. S. E., Vieira, S. M., Figueiredo, J., &amp; Sousa, J. M. C. (2021). Intelligent sensors for real-time decision-making. Automation, 2(2), 62–82. https://doi.org/10.3390/automation2020004</t>
  </si>
  <si>
    <t xml:space="preserve">MDPI (acceso abierto)</t>
  </si>
  <si>
    <t xml:space="preserve">Seis tareas por ensayo, tiempos promedio medidos vs. estimados por expertos, rango de duración total, urgentes y competencias.</t>
  </si>
  <si>
    <t xml:space="preserve">Martins, M. S. E., Viegas, J. L., Coito, T., Firme, B., Costigliola, A., Figueiredo, J., Vieira, S. M., &amp; Sousa, J. M. C. (2023). Minimizing total completion time in large-sized pharmaceutical quality control scheduling. Journal of Heuristics, 29(1), 177–206. https://doi.org/10.1007/s10732-023-09509-8</t>
  </si>
  <si>
    <t xml:space="preserve">Springer (acceso abierto)</t>
  </si>
  <si>
    <t xml:space="preserve">Generación de instancias (tipos de trabajo, operaciones, tiempos, flexibilidad, tareas del analista) y reglas de despacho de referencia.</t>
  </si>
  <si>
    <t xml:space="preserve">Cunha, M. M., Viegas, J. L., Martins, M. S. E., Coito, T., Costigliola, A., Figueiredo, J., Sousa, J. M. C., &amp; Vieira, S. M. (2019). Dual resource constrained scheduling for quality control laboratories. IFAC-PapersOnLine, 52(13), 1421–1426. https://doi.org/10.1016/j.ifacol.2019.11.398</t>
  </si>
  <si>
    <t xml:space="preserve">Tipos de trabajo, intervenciones del analista, ensayos por muestra, carga diaria y elegibilidad.</t>
  </si>
  <si>
    <t xml:space="preserve">Mischek, F., &amp; Musliu, N. (2021). A local search framework for industrial test laboratory scheduling. Annals of Operations Research, 302, 533–562. https://doi.org/10.1007/s10479-021-04007-1</t>
  </si>
  <si>
    <t xml:space="preserve">Estructura del TLSP, modos, ventanas de tiempo e instancias públicas para el contraste.</t>
  </si>
  <si>
    <t xml:space="preserve">Nota: la referencia de Cunha et al. (2019) en el anteproyecto no trae DOI; aquí está completo para que lo agreguen.</t>
  </si>
</sst>
</file>

<file path=xl/styles.xml><?xml version="1.0" encoding="utf-8"?>
<styleSheet xmlns="http://schemas.openxmlformats.org/spreadsheetml/2006/main">
  <numFmts count="7">
    <numFmt numFmtId="164" formatCode="General"/>
    <numFmt numFmtId="165" formatCode="General"/>
    <numFmt numFmtId="166" formatCode="0%"/>
    <numFmt numFmtId="167" formatCode="0.0"/>
    <numFmt numFmtId="168" formatCode="0.0%"/>
    <numFmt numFmtId="169" formatCode="#,##0"/>
    <numFmt numFmtId="170" formatCode="0.00"/>
  </numFmts>
  <fonts count="14">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i val="true"/>
      <sz val="10"/>
      <color rgb="FF52514E"/>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sz val="10"/>
      <color rgb="FF52514E"/>
      <name val="Arial"/>
      <family val="0"/>
      <charset val="1"/>
    </font>
    <font>
      <sz val="11"/>
      <color theme="1"/>
      <name val="Arial"/>
      <family val="0"/>
      <charset val="1"/>
    </font>
    <font>
      <i val="true"/>
      <sz val="9"/>
      <color rgb="FF52514E"/>
      <name val="Arial"/>
      <family val="0"/>
      <charset val="1"/>
    </font>
    <font>
      <b val="true"/>
      <sz val="10"/>
      <color rgb="FF0000FF"/>
      <name val="Arial"/>
      <family val="0"/>
      <charset val="1"/>
    </font>
    <font>
      <sz val="9"/>
      <color rgb="FF52514E"/>
      <name val="Arial"/>
      <family val="0"/>
      <charset val="1"/>
    </font>
  </fonts>
  <fills count="4">
    <fill>
      <patternFill patternType="none"/>
    </fill>
    <fill>
      <patternFill patternType="gray125"/>
    </fill>
    <fill>
      <patternFill patternType="solid">
        <fgColor rgb="FFFFF2A8"/>
        <bgColor rgb="FFE7E6E1"/>
      </patternFill>
    </fill>
    <fill>
      <patternFill patternType="solid">
        <fgColor rgb="FFE7E6E1"/>
        <bgColor rgb="FFD5D3CC"/>
      </patternFill>
    </fill>
  </fills>
  <borders count="3">
    <border diagonalUp="false" diagonalDown="false">
      <left/>
      <right/>
      <top/>
      <bottom/>
      <diagonal/>
    </border>
    <border diagonalUp="false" diagonalDown="false">
      <left/>
      <right/>
      <top/>
      <bottom style="thin">
        <color rgb="FF9C9A92"/>
      </bottom>
      <diagonal/>
    </border>
    <border diagonalUp="false" diagonalDown="false">
      <left/>
      <right/>
      <top/>
      <bottom style="thin">
        <color rgb="FFD5D3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7" fontId="10" fillId="0" borderId="2" xfId="0" applyFont="true" applyBorder="tru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5" fontId="10" fillId="2" borderId="2"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0" borderId="2" xfId="0" applyFont="tru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6" fontId="7" fillId="0" borderId="2" xfId="0" applyFont="true" applyBorder="true" applyAlignment="false" applyProtection="false">
      <alignment horizontal="general" vertical="bottom" textRotation="0" wrapText="false" indent="0" shrinkToFit="false"/>
      <protection locked="true" hidden="false"/>
    </xf>
    <xf numFmtId="166" fontId="8" fillId="0" borderId="2" xfId="0" applyFont="true" applyBorder="tru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8" fontId="8" fillId="0" borderId="2" xfId="0" applyFont="true" applyBorder="true" applyAlignment="false" applyProtection="false">
      <alignment horizontal="general" vertical="bottom" textRotation="0" wrapText="false" indent="0" shrinkToFit="false"/>
      <protection locked="true" hidden="false"/>
    </xf>
    <xf numFmtId="169" fontId="8" fillId="0" borderId="2" xfId="0" applyFont="true" applyBorder="true" applyAlignment="false" applyProtection="false">
      <alignment horizontal="general" vertical="bottom" textRotation="0" wrapText="false" indent="0" shrinkToFit="false"/>
      <protection locked="true" hidden="false"/>
    </xf>
    <xf numFmtId="168" fontId="7" fillId="0" borderId="2" xfId="0" applyFont="true" applyBorder="true" applyAlignment="false" applyProtection="false">
      <alignment horizontal="general" vertical="bottom" textRotation="0" wrapText="false" indent="0" shrinkToFit="false"/>
      <protection locked="true" hidden="false"/>
    </xf>
    <xf numFmtId="167" fontId="7" fillId="0" borderId="2" xfId="0" applyFont="true" applyBorder="tru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70" fontId="8" fillId="2" borderId="2"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false" applyProtection="false">
      <alignment horizontal="general" vertical="bottom" textRotation="0" wrapText="false" indent="0" shrinkToFit="false"/>
      <protection locked="true" hidden="false"/>
    </xf>
    <xf numFmtId="170" fontId="8" fillId="0" borderId="2" xfId="0" applyFont="true" applyBorder="true" applyAlignment="false" applyProtection="false">
      <alignment horizontal="general" vertical="bottom" textRotation="0" wrapText="false" indent="0" shrinkToFit="false"/>
      <protection locked="true" hidden="false"/>
    </xf>
    <xf numFmtId="166" fontId="8" fillId="2" borderId="2" xfId="0" applyFont="true" applyBorder="true" applyAlignment="true" applyProtection="false">
      <alignment horizontal="general" vertical="top" textRotation="0" wrapText="true" indent="0" shrinkToFit="false"/>
      <protection locked="true" hidden="false"/>
    </xf>
    <xf numFmtId="167" fontId="8" fillId="2" borderId="2" xfId="0" applyFont="true" applyBorder="true" applyAlignment="true" applyProtection="false">
      <alignment horizontal="general" vertical="top" textRotation="0" wrapText="true" indent="0" shrinkToFit="false"/>
      <protection locked="true" hidden="false"/>
    </xf>
    <xf numFmtId="164" fontId="8" fillId="2" borderId="2" xfId="0" applyFont="true" applyBorder="true" applyAlignment="true" applyProtection="false">
      <alignment horizontal="general" vertical="top" textRotation="0" wrapText="tru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6" fillId="2" borderId="2"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E7E6E1"/>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7E6E1"/>
      <rgbColor rgb="FFCCFFFF"/>
      <rgbColor rgb="FF660066"/>
      <rgbColor rgb="FFFF8080"/>
      <rgbColor rgb="FF0066CC"/>
      <rgbColor rgb="FFD5D3CC"/>
      <rgbColor rgb="FF000080"/>
      <rgbColor rgb="FFFF00FF"/>
      <rgbColor rgb="FFFFFF00"/>
      <rgbColor rgb="FF00FFFF"/>
      <rgbColor rgb="FF800080"/>
      <rgbColor rgb="FF800000"/>
      <rgbColor rgb="FF008080"/>
      <rgbColor rgb="FF0000FF"/>
      <rgbColor rgb="FF00CCFF"/>
      <rgbColor rgb="FFCCFFFF"/>
      <rgbColor rgb="FFCCFFCC"/>
      <rgbColor rgb="FFFFF2A8"/>
      <rgbColor rgb="FF99CCFF"/>
      <rgbColor rgb="FFFF99CC"/>
      <rgbColor rgb="FFCC99FF"/>
      <rgbColor rgb="FFFFCC99"/>
      <rgbColor rgb="FF3366FF"/>
      <rgbColor rgb="FF33CCCC"/>
      <rgbColor rgb="FF99CC00"/>
      <rgbColor rgb="FFFFCC00"/>
      <rgbColor rgb="FFFF9900"/>
      <rgbColor rgb="FFFF6600"/>
      <rgbColor rgb="FF666699"/>
      <rgbColor rgb="FF9C9A92"/>
      <rgbColor rgb="FF003366"/>
      <rgbColor rgb="FF339966"/>
      <rgbColor rgb="FF003300"/>
      <rgbColor rgb="FF333300"/>
      <rgbColor rgb="FF993300"/>
      <rgbColor rgb="FF993366"/>
      <rgbColor rgb="FF333399"/>
      <rgbColor rgb="FF5251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23.85" hidden="false" customHeight="false" outlineLevel="0" collapsed="false">
      <c r="A4" s="3" t="s">
        <v>2</v>
      </c>
      <c r="B4" s="4" t="s">
        <v>3</v>
      </c>
    </row>
    <row r="5" customFormat="false" ht="35.05" hidden="false" customHeight="false" outlineLevel="0" collapsed="false">
      <c r="A5" s="3" t="s">
        <v>4</v>
      </c>
      <c r="B5" s="4" t="s">
        <v>5</v>
      </c>
    </row>
    <row r="6" customFormat="false" ht="23.85" hidden="false" customHeight="false" outlineLevel="0" collapsed="false">
      <c r="A6" s="3" t="s">
        <v>6</v>
      </c>
      <c r="B6" s="4" t="s">
        <v>7</v>
      </c>
    </row>
    <row r="7" customFormat="false" ht="23.85" hidden="false" customHeight="false" outlineLevel="0" collapsed="false">
      <c r="A7" s="3" t="s">
        <v>8</v>
      </c>
      <c r="B7" s="4" t="s">
        <v>9</v>
      </c>
    </row>
    <row r="8" customFormat="false" ht="15" hidden="false" customHeight="false" outlineLevel="0" collapsed="false">
      <c r="A8" s="3" t="s">
        <v>10</v>
      </c>
      <c r="B8" s="4" t="s">
        <v>11</v>
      </c>
    </row>
    <row r="9" customFormat="false" ht="23.85" hidden="false" customHeight="false" outlineLevel="0" collapsed="false">
      <c r="A9" s="3" t="s">
        <v>12</v>
      </c>
      <c r="B9" s="4" t="s">
        <v>13</v>
      </c>
    </row>
    <row r="10" customFormat="false" ht="35.05" hidden="false" customHeight="false" outlineLevel="0" collapsed="false">
      <c r="A10" s="3" t="s">
        <v>14</v>
      </c>
      <c r="B10" s="4" t="s">
        <v>15</v>
      </c>
    </row>
    <row r="11" customFormat="false" ht="23.85" hidden="false" customHeight="false" outlineLevel="0" collapsed="false">
      <c r="A11" s="3" t="s">
        <v>16</v>
      </c>
      <c r="B11" s="4" t="s">
        <v>17</v>
      </c>
    </row>
    <row r="13" customFormat="false" ht="15" hidden="false" customHeight="false" outlineLevel="0" collapsed="false">
      <c r="A13" s="5" t="s">
        <v>18</v>
      </c>
    </row>
    <row r="14" customFormat="false" ht="15" hidden="false" customHeight="false" outlineLevel="0" collapsed="false">
      <c r="A14" s="6" t="n">
        <v>70</v>
      </c>
      <c r="B14" s="7" t="s">
        <v>19</v>
      </c>
    </row>
    <row r="15" customFormat="false" ht="15" hidden="false" customHeight="false" outlineLevel="0" collapsed="false">
      <c r="A15" s="8" t="n">
        <f aca="false">A14*1.5</f>
        <v>105</v>
      </c>
      <c r="B15" s="7" t="s">
        <v>20</v>
      </c>
    </row>
    <row r="16" customFormat="false" ht="15" hidden="false" customHeight="false" outlineLevel="0" collapsed="false">
      <c r="A16" s="9" t="n">
        <v>0.05</v>
      </c>
      <c r="B16" s="7" t="s">
        <v>21</v>
      </c>
    </row>
  </sheetData>
  <printOptions headings="false" gridLines="false" gridLinesSet="true" horizontalCentered="tru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6"/>
    <col collapsed="false" customWidth="true" hidden="false" outlineLevel="0" max="3" min="3" style="0" width="34"/>
    <col collapsed="false" customWidth="true" hidden="false" outlineLevel="0" max="4" min="4" style="0" width="38"/>
    <col collapsed="false" customWidth="true" hidden="false" outlineLevel="0" max="5" min="5" style="0" width="12"/>
    <col collapsed="false" customWidth="true" hidden="false" outlineLevel="0" max="6" min="6" style="0" width="17"/>
    <col collapsed="false" customWidth="true" hidden="false" outlineLevel="0" max="7" min="7" style="0" width="20"/>
    <col collapsed="false" customWidth="true" hidden="false" outlineLevel="0" max="8" min="8" style="0" width="18"/>
    <col collapsed="false" customWidth="true" hidden="false" outlineLevel="0" max="9" min="9" style="0" width="46"/>
    <col collapsed="false" customWidth="true" hidden="false" outlineLevel="0" max="10" min="10" style="0" width="24"/>
  </cols>
  <sheetData>
    <row r="1" customFormat="false" ht="17.35" hidden="false" customHeight="false" outlineLevel="0" collapsed="false">
      <c r="A1" s="1" t="s">
        <v>22</v>
      </c>
    </row>
    <row r="2" customFormat="false" ht="15" hidden="false" customHeight="false" outlineLevel="0" collapsed="false">
      <c r="A2" s="2" t="s">
        <v>23</v>
      </c>
    </row>
    <row r="4" customFormat="false" ht="23.85" hidden="false" customHeight="false" outlineLevel="0" collapsed="false">
      <c r="A4" s="10" t="s">
        <v>24</v>
      </c>
      <c r="B4" s="10" t="s">
        <v>25</v>
      </c>
      <c r="C4" s="10" t="s">
        <v>26</v>
      </c>
      <c r="D4" s="10" t="s">
        <v>27</v>
      </c>
      <c r="E4" s="10" t="s">
        <v>28</v>
      </c>
      <c r="F4" s="10" t="s">
        <v>29</v>
      </c>
      <c r="G4" s="10" t="s">
        <v>30</v>
      </c>
      <c r="H4" s="10" t="s">
        <v>31</v>
      </c>
      <c r="I4" s="10" t="s">
        <v>32</v>
      </c>
      <c r="J4" s="10" t="s">
        <v>33</v>
      </c>
    </row>
    <row r="5" customFormat="false" ht="23.85" hidden="false" customHeight="false" outlineLevel="0" collapsed="false">
      <c r="A5" s="11" t="s">
        <v>34</v>
      </c>
      <c r="B5" s="11" t="s">
        <v>35</v>
      </c>
      <c r="C5" s="11" t="s">
        <v>36</v>
      </c>
      <c r="D5" s="12" t="n">
        <v>70</v>
      </c>
      <c r="E5" s="11" t="s">
        <v>37</v>
      </c>
      <c r="F5" s="11" t="s">
        <v>38</v>
      </c>
      <c r="G5" s="11" t="s">
        <v>39</v>
      </c>
      <c r="H5" s="11" t="s">
        <v>40</v>
      </c>
      <c r="I5" s="11" t="s">
        <v>41</v>
      </c>
      <c r="J5" s="11" t="s">
        <v>42</v>
      </c>
    </row>
    <row r="6" customFormat="false" ht="23.85" hidden="false" customHeight="false" outlineLevel="0" collapsed="false">
      <c r="A6" s="11" t="s">
        <v>43</v>
      </c>
      <c r="B6" s="11" t="s">
        <v>35</v>
      </c>
      <c r="C6" s="11" t="s">
        <v>44</v>
      </c>
      <c r="D6" s="12" t="s">
        <v>45</v>
      </c>
      <c r="E6" s="11" t="s">
        <v>46</v>
      </c>
      <c r="F6" s="11" t="s">
        <v>38</v>
      </c>
      <c r="G6" s="11" t="s">
        <v>39</v>
      </c>
      <c r="H6" s="11" t="s">
        <v>40</v>
      </c>
      <c r="I6" s="11" t="s">
        <v>47</v>
      </c>
      <c r="J6" s="11" t="s">
        <v>42</v>
      </c>
    </row>
    <row r="7" customFormat="false" ht="23.85" hidden="false" customHeight="false" outlineLevel="0" collapsed="false">
      <c r="A7" s="11" t="s">
        <v>48</v>
      </c>
      <c r="B7" s="11" t="s">
        <v>35</v>
      </c>
      <c r="C7" s="11" t="s">
        <v>49</v>
      </c>
      <c r="D7" s="12" t="n">
        <v>20</v>
      </c>
      <c r="E7" s="11" t="s">
        <v>50</v>
      </c>
      <c r="F7" s="11" t="s">
        <v>38</v>
      </c>
      <c r="G7" s="11" t="s">
        <v>39</v>
      </c>
      <c r="H7" s="11" t="s">
        <v>51</v>
      </c>
      <c r="I7" s="11" t="s">
        <v>52</v>
      </c>
      <c r="J7" s="11" t="s">
        <v>53</v>
      </c>
    </row>
    <row r="8" customFormat="false" ht="35.05" hidden="false" customHeight="false" outlineLevel="0" collapsed="false">
      <c r="A8" s="11" t="s">
        <v>54</v>
      </c>
      <c r="B8" s="11" t="s">
        <v>35</v>
      </c>
      <c r="C8" s="11" t="s">
        <v>55</v>
      </c>
      <c r="D8" s="12" t="s">
        <v>56</v>
      </c>
      <c r="E8" s="11" t="s">
        <v>57</v>
      </c>
      <c r="F8" s="11" t="s">
        <v>38</v>
      </c>
      <c r="G8" s="11" t="s">
        <v>39</v>
      </c>
      <c r="H8" s="11" t="s">
        <v>58</v>
      </c>
      <c r="I8" s="11" t="s">
        <v>59</v>
      </c>
      <c r="J8" s="11" t="s">
        <v>53</v>
      </c>
    </row>
    <row r="9" customFormat="false" ht="46.25" hidden="false" customHeight="false" outlineLevel="0" collapsed="false">
      <c r="A9" s="11" t="s">
        <v>60</v>
      </c>
      <c r="B9" s="11" t="s">
        <v>35</v>
      </c>
      <c r="C9" s="11" t="s">
        <v>61</v>
      </c>
      <c r="D9" s="12" t="s">
        <v>62</v>
      </c>
      <c r="E9" s="11" t="s">
        <v>57</v>
      </c>
      <c r="F9" s="11" t="s">
        <v>38</v>
      </c>
      <c r="G9" s="11" t="s">
        <v>39</v>
      </c>
      <c r="H9" s="11" t="s">
        <v>63</v>
      </c>
      <c r="I9" s="11" t="s">
        <v>64</v>
      </c>
      <c r="J9" s="11" t="s">
        <v>53</v>
      </c>
    </row>
    <row r="10" customFormat="false" ht="35.05" hidden="false" customHeight="false" outlineLevel="0" collapsed="false">
      <c r="A10" s="11" t="s">
        <v>65</v>
      </c>
      <c r="B10" s="11" t="s">
        <v>35</v>
      </c>
      <c r="C10" s="11" t="s">
        <v>66</v>
      </c>
      <c r="D10" s="12" t="s">
        <v>67</v>
      </c>
      <c r="E10" s="11" t="s">
        <v>57</v>
      </c>
      <c r="F10" s="11" t="s">
        <v>38</v>
      </c>
      <c r="G10" s="11" t="s">
        <v>39</v>
      </c>
      <c r="H10" s="11" t="s">
        <v>58</v>
      </c>
      <c r="I10" s="11" t="s">
        <v>68</v>
      </c>
      <c r="J10" s="11" t="s">
        <v>53</v>
      </c>
    </row>
    <row r="11" customFormat="false" ht="23.85" hidden="false" customHeight="false" outlineLevel="0" collapsed="false">
      <c r="A11" s="11" t="s">
        <v>69</v>
      </c>
      <c r="B11" s="11" t="s">
        <v>35</v>
      </c>
      <c r="C11" s="11" t="s">
        <v>70</v>
      </c>
      <c r="D11" s="12" t="s">
        <v>71</v>
      </c>
      <c r="E11" s="11" t="s">
        <v>57</v>
      </c>
      <c r="F11" s="11" t="s">
        <v>38</v>
      </c>
      <c r="G11" s="11" t="s">
        <v>72</v>
      </c>
      <c r="H11" s="11" t="s">
        <v>73</v>
      </c>
      <c r="I11" s="11" t="s">
        <v>74</v>
      </c>
      <c r="J11" s="11" t="s">
        <v>42</v>
      </c>
    </row>
    <row r="12" customFormat="false" ht="35.05" hidden="false" customHeight="false" outlineLevel="0" collapsed="false">
      <c r="A12" s="11" t="s">
        <v>75</v>
      </c>
      <c r="B12" s="11" t="s">
        <v>35</v>
      </c>
      <c r="C12" s="11" t="s">
        <v>76</v>
      </c>
      <c r="D12" s="12" t="s">
        <v>77</v>
      </c>
      <c r="E12" s="11" t="s">
        <v>57</v>
      </c>
      <c r="F12" s="11" t="s">
        <v>38</v>
      </c>
      <c r="G12" s="11" t="s">
        <v>78</v>
      </c>
      <c r="H12" s="11" t="s">
        <v>79</v>
      </c>
      <c r="I12" s="11" t="s">
        <v>80</v>
      </c>
      <c r="J12" s="11" t="s">
        <v>53</v>
      </c>
    </row>
    <row r="13" customFormat="false" ht="46.25" hidden="false" customHeight="false" outlineLevel="0" collapsed="false">
      <c r="A13" s="11" t="s">
        <v>81</v>
      </c>
      <c r="B13" s="11" t="s">
        <v>82</v>
      </c>
      <c r="C13" s="11" t="s">
        <v>83</v>
      </c>
      <c r="D13" s="12" t="s">
        <v>84</v>
      </c>
      <c r="E13" s="11" t="s">
        <v>57</v>
      </c>
      <c r="F13" s="11" t="s">
        <v>38</v>
      </c>
      <c r="G13" s="11" t="s">
        <v>39</v>
      </c>
      <c r="H13" s="11" t="s">
        <v>85</v>
      </c>
      <c r="I13" s="11" t="s">
        <v>86</v>
      </c>
      <c r="J13" s="11" t="s">
        <v>87</v>
      </c>
    </row>
    <row r="14" customFormat="false" ht="46.25" hidden="false" customHeight="false" outlineLevel="0" collapsed="false">
      <c r="A14" s="11" t="s">
        <v>88</v>
      </c>
      <c r="B14" s="11" t="s">
        <v>82</v>
      </c>
      <c r="C14" s="11" t="s">
        <v>89</v>
      </c>
      <c r="D14" s="12" t="s">
        <v>90</v>
      </c>
      <c r="E14" s="11" t="s">
        <v>57</v>
      </c>
      <c r="F14" s="11" t="s">
        <v>38</v>
      </c>
      <c r="G14" s="11" t="s">
        <v>91</v>
      </c>
      <c r="H14" s="11" t="s">
        <v>92</v>
      </c>
      <c r="I14" s="11" t="s">
        <v>93</v>
      </c>
      <c r="J14" s="11" t="s">
        <v>87</v>
      </c>
    </row>
    <row r="15" customFormat="false" ht="35.05" hidden="false" customHeight="false" outlineLevel="0" collapsed="false">
      <c r="A15" s="11" t="s">
        <v>94</v>
      </c>
      <c r="B15" s="11" t="s">
        <v>82</v>
      </c>
      <c r="C15" s="11" t="s">
        <v>95</v>
      </c>
      <c r="D15" s="12" t="s">
        <v>96</v>
      </c>
      <c r="E15" s="11" t="s">
        <v>57</v>
      </c>
      <c r="F15" s="11" t="s">
        <v>38</v>
      </c>
      <c r="G15" s="11" t="s">
        <v>91</v>
      </c>
      <c r="H15" s="11" t="s">
        <v>92</v>
      </c>
      <c r="I15" s="11" t="s">
        <v>97</v>
      </c>
      <c r="J15" s="11" t="s">
        <v>98</v>
      </c>
    </row>
    <row r="16" customFormat="false" ht="23.85" hidden="false" customHeight="false" outlineLevel="0" collapsed="false">
      <c r="A16" s="11" t="s">
        <v>99</v>
      </c>
      <c r="B16" s="11" t="s">
        <v>82</v>
      </c>
      <c r="C16" s="11" t="s">
        <v>100</v>
      </c>
      <c r="D16" s="12" t="s">
        <v>101</v>
      </c>
      <c r="E16" s="11" t="s">
        <v>57</v>
      </c>
      <c r="F16" s="11" t="s">
        <v>38</v>
      </c>
      <c r="G16" s="11" t="s">
        <v>39</v>
      </c>
      <c r="H16" s="11" t="s">
        <v>102</v>
      </c>
      <c r="I16" s="11" t="s">
        <v>103</v>
      </c>
      <c r="J16" s="11" t="s">
        <v>98</v>
      </c>
    </row>
    <row r="17" customFormat="false" ht="23.85" hidden="false" customHeight="false" outlineLevel="0" collapsed="false">
      <c r="A17" s="11" t="s">
        <v>104</v>
      </c>
      <c r="B17" s="11" t="s">
        <v>82</v>
      </c>
      <c r="C17" s="11" t="s">
        <v>105</v>
      </c>
      <c r="D17" s="12" t="s">
        <v>106</v>
      </c>
      <c r="E17" s="11" t="s">
        <v>57</v>
      </c>
      <c r="F17" s="11" t="s">
        <v>38</v>
      </c>
      <c r="G17" s="11" t="s">
        <v>39</v>
      </c>
      <c r="H17" s="11" t="s">
        <v>107</v>
      </c>
      <c r="I17" s="11" t="s">
        <v>108</v>
      </c>
      <c r="J17" s="11" t="s">
        <v>109</v>
      </c>
    </row>
    <row r="18" customFormat="false" ht="23.85" hidden="false" customHeight="false" outlineLevel="0" collapsed="false">
      <c r="A18" s="11" t="s">
        <v>110</v>
      </c>
      <c r="B18" s="11" t="s">
        <v>82</v>
      </c>
      <c r="C18" s="11" t="s">
        <v>111</v>
      </c>
      <c r="D18" s="12" t="s">
        <v>112</v>
      </c>
      <c r="E18" s="11" t="s">
        <v>113</v>
      </c>
      <c r="F18" s="11" t="s">
        <v>38</v>
      </c>
      <c r="G18" s="11" t="s">
        <v>72</v>
      </c>
      <c r="H18" s="11" t="s">
        <v>73</v>
      </c>
      <c r="I18" s="11" t="s">
        <v>114</v>
      </c>
      <c r="J18" s="11" t="s">
        <v>109</v>
      </c>
    </row>
    <row r="19" customFormat="false" ht="35.05" hidden="false" customHeight="false" outlineLevel="0" collapsed="false">
      <c r="A19" s="11" t="s">
        <v>115</v>
      </c>
      <c r="B19" s="11" t="s">
        <v>82</v>
      </c>
      <c r="C19" s="11" t="s">
        <v>116</v>
      </c>
      <c r="D19" s="12" t="s">
        <v>117</v>
      </c>
      <c r="E19" s="11" t="s">
        <v>118</v>
      </c>
      <c r="F19" s="11" t="s">
        <v>38</v>
      </c>
      <c r="G19" s="11" t="s">
        <v>72</v>
      </c>
      <c r="H19" s="11" t="s">
        <v>119</v>
      </c>
      <c r="I19" s="11" t="s">
        <v>120</v>
      </c>
      <c r="J19" s="11" t="s">
        <v>109</v>
      </c>
    </row>
    <row r="20" customFormat="false" ht="23.85" hidden="false" customHeight="false" outlineLevel="0" collapsed="false">
      <c r="A20" s="11" t="s">
        <v>121</v>
      </c>
      <c r="B20" s="11" t="s">
        <v>82</v>
      </c>
      <c r="C20" s="11" t="s">
        <v>122</v>
      </c>
      <c r="D20" s="12" t="s">
        <v>123</v>
      </c>
      <c r="E20" s="11" t="s">
        <v>124</v>
      </c>
      <c r="F20" s="11" t="s">
        <v>38</v>
      </c>
      <c r="G20" s="11" t="s">
        <v>78</v>
      </c>
      <c r="H20" s="11" t="s">
        <v>125</v>
      </c>
      <c r="I20" s="11" t="s">
        <v>126</v>
      </c>
      <c r="J20" s="11" t="s">
        <v>109</v>
      </c>
    </row>
    <row r="21" customFormat="false" ht="23.85" hidden="false" customHeight="false" outlineLevel="0" collapsed="false">
      <c r="A21" s="11" t="s">
        <v>127</v>
      </c>
      <c r="B21" s="11" t="s">
        <v>82</v>
      </c>
      <c r="C21" s="11" t="s">
        <v>128</v>
      </c>
      <c r="D21" s="12" t="s">
        <v>129</v>
      </c>
      <c r="E21" s="11" t="s">
        <v>130</v>
      </c>
      <c r="F21" s="11" t="s">
        <v>38</v>
      </c>
      <c r="G21" s="11" t="s">
        <v>39</v>
      </c>
      <c r="H21" s="11" t="s">
        <v>131</v>
      </c>
      <c r="I21" s="11" t="s">
        <v>132</v>
      </c>
      <c r="J21" s="11" t="s">
        <v>87</v>
      </c>
    </row>
    <row r="22" customFormat="false" ht="23.85" hidden="false" customHeight="false" outlineLevel="0" collapsed="false">
      <c r="A22" s="11" t="s">
        <v>133</v>
      </c>
      <c r="B22" s="11" t="s">
        <v>134</v>
      </c>
      <c r="C22" s="11" t="s">
        <v>135</v>
      </c>
      <c r="D22" s="12" t="s">
        <v>136</v>
      </c>
      <c r="E22" s="11" t="s">
        <v>137</v>
      </c>
      <c r="F22" s="11" t="s">
        <v>38</v>
      </c>
      <c r="G22" s="11" t="s">
        <v>39</v>
      </c>
      <c r="H22" s="11" t="s">
        <v>138</v>
      </c>
      <c r="I22" s="11" t="s">
        <v>139</v>
      </c>
      <c r="J22" s="11" t="s">
        <v>87</v>
      </c>
    </row>
    <row r="23" customFormat="false" ht="46.25" hidden="false" customHeight="false" outlineLevel="0" collapsed="false">
      <c r="A23" s="11" t="s">
        <v>140</v>
      </c>
      <c r="B23" s="11" t="s">
        <v>134</v>
      </c>
      <c r="C23" s="11" t="s">
        <v>141</v>
      </c>
      <c r="D23" s="12" t="s">
        <v>142</v>
      </c>
      <c r="E23" s="11" t="s">
        <v>57</v>
      </c>
      <c r="F23" s="11" t="s">
        <v>38</v>
      </c>
      <c r="G23" s="11" t="s">
        <v>39</v>
      </c>
      <c r="H23" s="11" t="s">
        <v>143</v>
      </c>
      <c r="I23" s="11" t="s">
        <v>144</v>
      </c>
      <c r="J23" s="11" t="s">
        <v>87</v>
      </c>
    </row>
    <row r="24" customFormat="false" ht="35.05" hidden="false" customHeight="false" outlineLevel="0" collapsed="false">
      <c r="A24" s="11" t="s">
        <v>145</v>
      </c>
      <c r="B24" s="11" t="s">
        <v>134</v>
      </c>
      <c r="C24" s="11" t="s">
        <v>146</v>
      </c>
      <c r="D24" s="12" t="s">
        <v>147</v>
      </c>
      <c r="E24" s="11" t="s">
        <v>57</v>
      </c>
      <c r="F24" s="11" t="s">
        <v>38</v>
      </c>
      <c r="G24" s="11" t="s">
        <v>39</v>
      </c>
      <c r="H24" s="11" t="s">
        <v>148</v>
      </c>
      <c r="I24" s="11" t="s">
        <v>149</v>
      </c>
      <c r="J24" s="11" t="s">
        <v>109</v>
      </c>
    </row>
    <row r="25" customFormat="false" ht="23.85" hidden="false" customHeight="false" outlineLevel="0" collapsed="false">
      <c r="A25" s="11" t="s">
        <v>150</v>
      </c>
      <c r="B25" s="11" t="s">
        <v>134</v>
      </c>
      <c r="C25" s="11" t="s">
        <v>151</v>
      </c>
      <c r="D25" s="12" t="s">
        <v>152</v>
      </c>
      <c r="E25" s="11" t="s">
        <v>137</v>
      </c>
      <c r="F25" s="11" t="s">
        <v>38</v>
      </c>
      <c r="G25" s="11" t="s">
        <v>39</v>
      </c>
      <c r="H25" s="11" t="s">
        <v>153</v>
      </c>
      <c r="I25" s="11" t="s">
        <v>154</v>
      </c>
      <c r="J25" s="11" t="s">
        <v>109</v>
      </c>
    </row>
    <row r="26" customFormat="false" ht="23.85" hidden="false" customHeight="false" outlineLevel="0" collapsed="false">
      <c r="A26" s="11" t="s">
        <v>155</v>
      </c>
      <c r="B26" s="11" t="s">
        <v>134</v>
      </c>
      <c r="C26" s="11" t="s">
        <v>156</v>
      </c>
      <c r="D26" s="12" t="s">
        <v>157</v>
      </c>
      <c r="E26" s="11" t="s">
        <v>137</v>
      </c>
      <c r="F26" s="11" t="s">
        <v>38</v>
      </c>
      <c r="G26" s="11" t="s">
        <v>91</v>
      </c>
      <c r="H26" s="11" t="s">
        <v>158</v>
      </c>
      <c r="I26" s="11" t="s">
        <v>159</v>
      </c>
      <c r="J26" s="11" t="s">
        <v>87</v>
      </c>
    </row>
    <row r="27" customFormat="false" ht="46.25" hidden="false" customHeight="false" outlineLevel="0" collapsed="false">
      <c r="A27" s="11" t="s">
        <v>160</v>
      </c>
      <c r="B27" s="11" t="s">
        <v>134</v>
      </c>
      <c r="C27" s="11" t="s">
        <v>161</v>
      </c>
      <c r="D27" s="12" t="s">
        <v>162</v>
      </c>
      <c r="E27" s="11" t="s">
        <v>163</v>
      </c>
      <c r="F27" s="11" t="s">
        <v>38</v>
      </c>
      <c r="G27" s="11" t="s">
        <v>91</v>
      </c>
      <c r="H27" s="11" t="s">
        <v>164</v>
      </c>
      <c r="I27" s="11" t="s">
        <v>165</v>
      </c>
      <c r="J27" s="11" t="s">
        <v>166</v>
      </c>
    </row>
    <row r="28" customFormat="false" ht="23.85" hidden="false" customHeight="false" outlineLevel="0" collapsed="false">
      <c r="A28" s="11" t="s">
        <v>167</v>
      </c>
      <c r="B28" s="11" t="s">
        <v>134</v>
      </c>
      <c r="C28" s="11" t="s">
        <v>168</v>
      </c>
      <c r="D28" s="12" t="s">
        <v>169</v>
      </c>
      <c r="E28" s="11" t="s">
        <v>137</v>
      </c>
      <c r="F28" s="11" t="s">
        <v>38</v>
      </c>
      <c r="G28" s="11" t="s">
        <v>91</v>
      </c>
      <c r="H28" s="11" t="s">
        <v>164</v>
      </c>
      <c r="I28" s="11" t="s">
        <v>170</v>
      </c>
      <c r="J28" s="11" t="s">
        <v>109</v>
      </c>
    </row>
    <row r="29" customFormat="false" ht="23.85" hidden="false" customHeight="false" outlineLevel="0" collapsed="false">
      <c r="A29" s="11" t="s">
        <v>171</v>
      </c>
      <c r="B29" s="11" t="s">
        <v>134</v>
      </c>
      <c r="C29" s="11" t="s">
        <v>172</v>
      </c>
      <c r="D29" s="12" t="s">
        <v>173</v>
      </c>
      <c r="E29" s="11" t="s">
        <v>57</v>
      </c>
      <c r="F29" s="11" t="s">
        <v>38</v>
      </c>
      <c r="G29" s="11" t="s">
        <v>91</v>
      </c>
      <c r="H29" s="11" t="s">
        <v>164</v>
      </c>
      <c r="I29" s="11" t="s">
        <v>174</v>
      </c>
      <c r="J29" s="11" t="s">
        <v>87</v>
      </c>
    </row>
    <row r="30" customFormat="false" ht="23.85" hidden="false" customHeight="false" outlineLevel="0" collapsed="false">
      <c r="A30" s="11" t="s">
        <v>175</v>
      </c>
      <c r="B30" s="11" t="s">
        <v>134</v>
      </c>
      <c r="C30" s="11" t="s">
        <v>176</v>
      </c>
      <c r="D30" s="12" t="s">
        <v>177</v>
      </c>
      <c r="E30" s="11" t="s">
        <v>57</v>
      </c>
      <c r="F30" s="11" t="s">
        <v>38</v>
      </c>
      <c r="G30" s="11" t="s">
        <v>91</v>
      </c>
      <c r="H30" s="11" t="s">
        <v>164</v>
      </c>
      <c r="I30" s="11" t="s">
        <v>178</v>
      </c>
      <c r="J30" s="11" t="s">
        <v>179</v>
      </c>
    </row>
    <row r="31" customFormat="false" ht="46.25" hidden="false" customHeight="false" outlineLevel="0" collapsed="false">
      <c r="A31" s="11" t="s">
        <v>180</v>
      </c>
      <c r="B31" s="11" t="s">
        <v>134</v>
      </c>
      <c r="C31" s="11" t="s">
        <v>181</v>
      </c>
      <c r="D31" s="12" t="s">
        <v>182</v>
      </c>
      <c r="E31" s="11" t="s">
        <v>183</v>
      </c>
      <c r="F31" s="11" t="s">
        <v>38</v>
      </c>
      <c r="G31" s="11" t="s">
        <v>78</v>
      </c>
      <c r="H31" s="11" t="s">
        <v>125</v>
      </c>
      <c r="I31" s="11" t="s">
        <v>184</v>
      </c>
      <c r="J31" s="11" t="s">
        <v>98</v>
      </c>
    </row>
    <row r="32" customFormat="false" ht="35.05" hidden="false" customHeight="false" outlineLevel="0" collapsed="false">
      <c r="A32" s="11" t="s">
        <v>185</v>
      </c>
      <c r="B32" s="11" t="s">
        <v>134</v>
      </c>
      <c r="C32" s="11" t="s">
        <v>186</v>
      </c>
      <c r="D32" s="12" t="s">
        <v>187</v>
      </c>
      <c r="E32" s="11" t="s">
        <v>118</v>
      </c>
      <c r="F32" s="11" t="s">
        <v>38</v>
      </c>
      <c r="G32" s="11" t="s">
        <v>72</v>
      </c>
      <c r="H32" s="11" t="s">
        <v>188</v>
      </c>
      <c r="I32" s="11" t="s">
        <v>189</v>
      </c>
      <c r="J32" s="11" t="s">
        <v>98</v>
      </c>
    </row>
    <row r="33" customFormat="false" ht="35.05" hidden="false" customHeight="false" outlineLevel="0" collapsed="false">
      <c r="A33" s="11" t="s">
        <v>190</v>
      </c>
      <c r="B33" s="11" t="s">
        <v>134</v>
      </c>
      <c r="C33" s="11" t="s">
        <v>191</v>
      </c>
      <c r="D33" s="12" t="s">
        <v>192</v>
      </c>
      <c r="E33" s="11" t="s">
        <v>57</v>
      </c>
      <c r="F33" s="11" t="s">
        <v>38</v>
      </c>
      <c r="G33" s="11" t="s">
        <v>91</v>
      </c>
      <c r="H33" s="11" t="s">
        <v>92</v>
      </c>
      <c r="I33" s="11" t="s">
        <v>193</v>
      </c>
      <c r="J33" s="11" t="s">
        <v>53</v>
      </c>
    </row>
    <row r="34" customFormat="false" ht="35.05" hidden="false" customHeight="false" outlineLevel="0" collapsed="false">
      <c r="A34" s="11" t="s">
        <v>194</v>
      </c>
      <c r="B34" s="11" t="s">
        <v>195</v>
      </c>
      <c r="C34" s="11" t="s">
        <v>196</v>
      </c>
      <c r="D34" s="12" t="s">
        <v>197</v>
      </c>
      <c r="E34" s="11" t="s">
        <v>57</v>
      </c>
      <c r="F34" s="11" t="s">
        <v>38</v>
      </c>
      <c r="G34" s="11" t="s">
        <v>91</v>
      </c>
      <c r="H34" s="11" t="s">
        <v>198</v>
      </c>
      <c r="I34" s="11" t="s">
        <v>199</v>
      </c>
      <c r="J34" s="11" t="s">
        <v>98</v>
      </c>
    </row>
    <row r="35" customFormat="false" ht="35.05" hidden="false" customHeight="false" outlineLevel="0" collapsed="false">
      <c r="A35" s="11" t="s">
        <v>200</v>
      </c>
      <c r="B35" s="11" t="s">
        <v>195</v>
      </c>
      <c r="C35" s="11" t="s">
        <v>201</v>
      </c>
      <c r="D35" s="12" t="s">
        <v>202</v>
      </c>
      <c r="E35" s="11" t="s">
        <v>203</v>
      </c>
      <c r="F35" s="11" t="s">
        <v>38</v>
      </c>
      <c r="G35" s="11" t="s">
        <v>78</v>
      </c>
      <c r="H35" s="11" t="s">
        <v>79</v>
      </c>
      <c r="I35" s="11" t="s">
        <v>204</v>
      </c>
      <c r="J35" s="11" t="s">
        <v>98</v>
      </c>
    </row>
    <row r="36" customFormat="false" ht="23.85" hidden="false" customHeight="false" outlineLevel="0" collapsed="false">
      <c r="A36" s="11" t="s">
        <v>205</v>
      </c>
      <c r="B36" s="11" t="s">
        <v>195</v>
      </c>
      <c r="C36" s="11" t="s">
        <v>206</v>
      </c>
      <c r="D36" s="12" t="s">
        <v>207</v>
      </c>
      <c r="E36" s="11" t="s">
        <v>57</v>
      </c>
      <c r="F36" s="11" t="s">
        <v>38</v>
      </c>
      <c r="G36" s="11" t="s">
        <v>72</v>
      </c>
      <c r="H36" s="11" t="s">
        <v>208</v>
      </c>
      <c r="I36" s="11" t="s">
        <v>209</v>
      </c>
      <c r="J36" s="11" t="s">
        <v>98</v>
      </c>
    </row>
    <row r="37" customFormat="false" ht="35.05" hidden="false" customHeight="false" outlineLevel="0" collapsed="false">
      <c r="A37" s="11" t="s">
        <v>210</v>
      </c>
      <c r="B37" s="11" t="s">
        <v>195</v>
      </c>
      <c r="C37" s="11" t="s">
        <v>211</v>
      </c>
      <c r="D37" s="12" t="s">
        <v>212</v>
      </c>
      <c r="E37" s="11" t="s">
        <v>57</v>
      </c>
      <c r="F37" s="11" t="s">
        <v>38</v>
      </c>
      <c r="G37" s="11" t="s">
        <v>213</v>
      </c>
      <c r="H37" s="11" t="s">
        <v>214</v>
      </c>
      <c r="I37" s="11" t="s">
        <v>215</v>
      </c>
      <c r="J37" s="11" t="s">
        <v>98</v>
      </c>
    </row>
    <row r="38" customFormat="false" ht="46.25" hidden="false" customHeight="false" outlineLevel="0" collapsed="false">
      <c r="A38" s="11" t="s">
        <v>216</v>
      </c>
      <c r="B38" s="11" t="s">
        <v>195</v>
      </c>
      <c r="C38" s="11" t="s">
        <v>217</v>
      </c>
      <c r="D38" s="12" t="s">
        <v>218</v>
      </c>
      <c r="E38" s="11" t="s">
        <v>57</v>
      </c>
      <c r="F38" s="11" t="s">
        <v>38</v>
      </c>
      <c r="G38" s="11" t="s">
        <v>39</v>
      </c>
      <c r="H38" s="11" t="s">
        <v>219</v>
      </c>
      <c r="I38" s="11" t="s">
        <v>220</v>
      </c>
      <c r="J38" s="11" t="s">
        <v>53</v>
      </c>
    </row>
    <row r="39" customFormat="false" ht="23.85" hidden="false" customHeight="false" outlineLevel="0" collapsed="false">
      <c r="A39" s="11" t="s">
        <v>221</v>
      </c>
      <c r="B39" s="11" t="s">
        <v>222</v>
      </c>
      <c r="C39" s="11" t="s">
        <v>223</v>
      </c>
      <c r="D39" s="12" t="s">
        <v>224</v>
      </c>
      <c r="E39" s="11" t="s">
        <v>225</v>
      </c>
      <c r="F39" s="11" t="s">
        <v>38</v>
      </c>
      <c r="G39" s="11" t="s">
        <v>39</v>
      </c>
      <c r="H39" s="11" t="s">
        <v>226</v>
      </c>
      <c r="I39" s="11" t="s">
        <v>227</v>
      </c>
      <c r="J39" s="11" t="s">
        <v>222</v>
      </c>
    </row>
    <row r="40" customFormat="false" ht="23.85" hidden="false" customHeight="false" outlineLevel="0" collapsed="false">
      <c r="A40" s="11" t="s">
        <v>228</v>
      </c>
      <c r="B40" s="11" t="s">
        <v>222</v>
      </c>
      <c r="C40" s="11" t="s">
        <v>229</v>
      </c>
      <c r="D40" s="12" t="s">
        <v>230</v>
      </c>
      <c r="E40" s="11" t="s">
        <v>231</v>
      </c>
      <c r="F40" s="11" t="s">
        <v>38</v>
      </c>
      <c r="G40" s="11" t="s">
        <v>39</v>
      </c>
      <c r="H40" s="11" t="s">
        <v>232</v>
      </c>
      <c r="I40" s="11" t="s">
        <v>233</v>
      </c>
      <c r="J40" s="11" t="s">
        <v>222</v>
      </c>
    </row>
    <row r="41" customFormat="false" ht="23.85" hidden="false" customHeight="false" outlineLevel="0" collapsed="false">
      <c r="A41" s="11" t="s">
        <v>234</v>
      </c>
      <c r="B41" s="11" t="s">
        <v>222</v>
      </c>
      <c r="C41" s="11" t="s">
        <v>235</v>
      </c>
      <c r="D41" s="12" t="s">
        <v>236</v>
      </c>
      <c r="E41" s="11" t="s">
        <v>57</v>
      </c>
      <c r="F41" s="11" t="s">
        <v>38</v>
      </c>
      <c r="G41" s="11" t="s">
        <v>91</v>
      </c>
      <c r="H41" s="11" t="s">
        <v>164</v>
      </c>
      <c r="I41" s="11" t="s">
        <v>237</v>
      </c>
      <c r="J41" s="11" t="s">
        <v>222</v>
      </c>
    </row>
    <row r="42" customFormat="false" ht="23.85" hidden="false" customHeight="false" outlineLevel="0" collapsed="false">
      <c r="A42" s="11" t="s">
        <v>238</v>
      </c>
      <c r="B42" s="11" t="s">
        <v>222</v>
      </c>
      <c r="C42" s="11" t="s">
        <v>239</v>
      </c>
      <c r="D42" s="12" t="s">
        <v>240</v>
      </c>
      <c r="E42" s="11" t="s">
        <v>241</v>
      </c>
      <c r="F42" s="11" t="s">
        <v>38</v>
      </c>
      <c r="G42" s="11" t="s">
        <v>72</v>
      </c>
      <c r="H42" s="11" t="s">
        <v>242</v>
      </c>
      <c r="I42" s="11" t="s">
        <v>243</v>
      </c>
      <c r="J42" s="11" t="s">
        <v>222</v>
      </c>
    </row>
    <row r="43" customFormat="false" ht="15" hidden="false" customHeight="false" outlineLevel="0" collapsed="false">
      <c r="A43" s="11" t="s">
        <v>244</v>
      </c>
      <c r="B43" s="11" t="s">
        <v>222</v>
      </c>
      <c r="C43" s="11" t="s">
        <v>245</v>
      </c>
      <c r="D43" s="12" t="s">
        <v>246</v>
      </c>
      <c r="E43" s="11" t="s">
        <v>247</v>
      </c>
      <c r="F43" s="11" t="s">
        <v>38</v>
      </c>
      <c r="G43" s="11" t="s">
        <v>78</v>
      </c>
      <c r="H43" s="11" t="s">
        <v>248</v>
      </c>
      <c r="I43" s="11" t="s">
        <v>249</v>
      </c>
      <c r="J43" s="11" t="s">
        <v>222</v>
      </c>
    </row>
    <row r="44" customFormat="false" ht="35.05" hidden="false" customHeight="false" outlineLevel="0" collapsed="false">
      <c r="A44" s="11" t="s">
        <v>250</v>
      </c>
      <c r="B44" s="11" t="s">
        <v>222</v>
      </c>
      <c r="C44" s="11" t="s">
        <v>251</v>
      </c>
      <c r="D44" s="12" t="s">
        <v>252</v>
      </c>
      <c r="E44" s="11" t="s">
        <v>130</v>
      </c>
      <c r="F44" s="11" t="s">
        <v>38</v>
      </c>
      <c r="G44" s="11" t="s">
        <v>39</v>
      </c>
      <c r="H44" s="11" t="s">
        <v>253</v>
      </c>
      <c r="I44" s="11" t="s">
        <v>254</v>
      </c>
      <c r="J44" s="11" t="s">
        <v>222</v>
      </c>
    </row>
    <row r="45" customFormat="false" ht="35.05" hidden="false" customHeight="false" outlineLevel="0" collapsed="false">
      <c r="A45" s="11" t="s">
        <v>255</v>
      </c>
      <c r="B45" s="11" t="s">
        <v>222</v>
      </c>
      <c r="C45" s="11" t="s">
        <v>256</v>
      </c>
      <c r="D45" s="12" t="s">
        <v>257</v>
      </c>
      <c r="E45" s="11" t="s">
        <v>258</v>
      </c>
      <c r="F45" s="11" t="s">
        <v>38</v>
      </c>
      <c r="G45" s="11" t="s">
        <v>39</v>
      </c>
      <c r="H45" s="11" t="s">
        <v>259</v>
      </c>
      <c r="I45" s="11" t="s">
        <v>260</v>
      </c>
      <c r="J45" s="11" t="s">
        <v>222</v>
      </c>
    </row>
    <row r="46" customFormat="false" ht="35.05" hidden="false" customHeight="false" outlineLevel="0" collapsed="false">
      <c r="A46" s="11" t="s">
        <v>261</v>
      </c>
      <c r="B46" s="11" t="s">
        <v>222</v>
      </c>
      <c r="C46" s="11" t="s">
        <v>262</v>
      </c>
      <c r="D46" s="12" t="s">
        <v>263</v>
      </c>
      <c r="E46" s="11" t="s">
        <v>57</v>
      </c>
      <c r="F46" s="11" t="s">
        <v>38</v>
      </c>
      <c r="G46" s="11" t="s">
        <v>91</v>
      </c>
      <c r="H46" s="11" t="s">
        <v>198</v>
      </c>
      <c r="I46" s="11" t="s">
        <v>264</v>
      </c>
      <c r="J46" s="11" t="s">
        <v>179</v>
      </c>
    </row>
    <row r="47" customFormat="false" ht="23.85" hidden="false" customHeight="false" outlineLevel="0" collapsed="false">
      <c r="A47" s="11" t="s">
        <v>265</v>
      </c>
      <c r="B47" s="11" t="s">
        <v>222</v>
      </c>
      <c r="C47" s="11" t="s">
        <v>266</v>
      </c>
      <c r="D47" s="12" t="s">
        <v>267</v>
      </c>
      <c r="E47" s="11" t="s">
        <v>57</v>
      </c>
      <c r="F47" s="11" t="s">
        <v>38</v>
      </c>
      <c r="G47" s="11" t="s">
        <v>78</v>
      </c>
      <c r="H47" s="11" t="s">
        <v>268</v>
      </c>
      <c r="I47" s="11" t="s">
        <v>269</v>
      </c>
      <c r="J47" s="11" t="s">
        <v>222</v>
      </c>
    </row>
    <row r="48" customFormat="false" ht="23.85" hidden="false" customHeight="false" outlineLevel="0" collapsed="false">
      <c r="A48" s="11" t="s">
        <v>270</v>
      </c>
      <c r="B48" s="11" t="s">
        <v>222</v>
      </c>
      <c r="C48" s="11" t="s">
        <v>271</v>
      </c>
      <c r="D48" s="12" t="s">
        <v>272</v>
      </c>
      <c r="E48" s="11" t="s">
        <v>57</v>
      </c>
      <c r="F48" s="11" t="s">
        <v>38</v>
      </c>
      <c r="G48" s="11" t="s">
        <v>213</v>
      </c>
      <c r="H48" s="11" t="s">
        <v>273</v>
      </c>
      <c r="I48" s="11" t="s">
        <v>274</v>
      </c>
      <c r="J48" s="11" t="s">
        <v>222</v>
      </c>
    </row>
    <row r="49" customFormat="false" ht="23.85" hidden="false" customHeight="false" outlineLevel="0" collapsed="false">
      <c r="A49" s="11" t="s">
        <v>275</v>
      </c>
      <c r="B49" s="11" t="s">
        <v>276</v>
      </c>
      <c r="C49" s="11" t="s">
        <v>277</v>
      </c>
      <c r="D49" s="12" t="s">
        <v>278</v>
      </c>
      <c r="E49" s="11" t="s">
        <v>163</v>
      </c>
      <c r="F49" s="11" t="s">
        <v>38</v>
      </c>
      <c r="G49" s="11" t="s">
        <v>39</v>
      </c>
      <c r="H49" s="11" t="s">
        <v>279</v>
      </c>
      <c r="I49" s="11" t="s">
        <v>280</v>
      </c>
      <c r="J49" s="11" t="s">
        <v>179</v>
      </c>
    </row>
    <row r="50" customFormat="false" ht="23.85" hidden="false" customHeight="false" outlineLevel="0" collapsed="false">
      <c r="A50" s="11" t="s">
        <v>281</v>
      </c>
      <c r="B50" s="11" t="s">
        <v>276</v>
      </c>
      <c r="C50" s="11" t="s">
        <v>282</v>
      </c>
      <c r="D50" s="12" t="s">
        <v>283</v>
      </c>
      <c r="E50" s="11" t="s">
        <v>57</v>
      </c>
      <c r="F50" s="11" t="s">
        <v>38</v>
      </c>
      <c r="G50" s="11" t="s">
        <v>39</v>
      </c>
      <c r="H50" s="11" t="s">
        <v>284</v>
      </c>
      <c r="I50" s="11" t="s">
        <v>285</v>
      </c>
      <c r="J50" s="11" t="s">
        <v>109</v>
      </c>
    </row>
    <row r="51" customFormat="false" ht="35.05" hidden="false" customHeight="false" outlineLevel="0" collapsed="false">
      <c r="A51" s="11" t="s">
        <v>286</v>
      </c>
      <c r="B51" s="11" t="s">
        <v>287</v>
      </c>
      <c r="C51" s="11" t="s">
        <v>288</v>
      </c>
      <c r="D51" s="12" t="s">
        <v>289</v>
      </c>
      <c r="E51" s="11" t="s">
        <v>57</v>
      </c>
      <c r="F51" s="11" t="s">
        <v>38</v>
      </c>
      <c r="G51" s="11" t="s">
        <v>39</v>
      </c>
      <c r="H51" s="11" t="s">
        <v>102</v>
      </c>
      <c r="I51" s="11" t="s">
        <v>290</v>
      </c>
      <c r="J51" s="11" t="s">
        <v>166</v>
      </c>
    </row>
    <row r="52" customFormat="false" ht="35.05" hidden="false" customHeight="false" outlineLevel="0" collapsed="false">
      <c r="A52" s="11" t="s">
        <v>291</v>
      </c>
      <c r="B52" s="11" t="s">
        <v>287</v>
      </c>
      <c r="C52" s="11" t="s">
        <v>292</v>
      </c>
      <c r="D52" s="12" t="s">
        <v>293</v>
      </c>
      <c r="E52" s="11" t="s">
        <v>57</v>
      </c>
      <c r="F52" s="11" t="s">
        <v>38</v>
      </c>
      <c r="G52" s="11" t="s">
        <v>39</v>
      </c>
      <c r="H52" s="11" t="s">
        <v>294</v>
      </c>
      <c r="I52" s="11" t="s">
        <v>295</v>
      </c>
      <c r="J52" s="11" t="s">
        <v>166</v>
      </c>
    </row>
    <row r="53" customFormat="false" ht="35.05" hidden="false" customHeight="false" outlineLevel="0" collapsed="false">
      <c r="A53" s="11" t="s">
        <v>296</v>
      </c>
      <c r="B53" s="11" t="s">
        <v>287</v>
      </c>
      <c r="C53" s="11" t="s">
        <v>297</v>
      </c>
      <c r="D53" s="12" t="s">
        <v>298</v>
      </c>
      <c r="E53" s="11" t="s">
        <v>57</v>
      </c>
      <c r="F53" s="11" t="s">
        <v>38</v>
      </c>
      <c r="G53" s="11" t="s">
        <v>78</v>
      </c>
      <c r="H53" s="11" t="s">
        <v>299</v>
      </c>
      <c r="I53" s="11" t="s">
        <v>300</v>
      </c>
      <c r="J53" s="11" t="s">
        <v>166</v>
      </c>
    </row>
    <row r="54" customFormat="false" ht="35.05" hidden="false" customHeight="false" outlineLevel="0" collapsed="false">
      <c r="A54" s="11" t="s">
        <v>301</v>
      </c>
      <c r="B54" s="11" t="s">
        <v>287</v>
      </c>
      <c r="C54" s="11" t="s">
        <v>302</v>
      </c>
      <c r="D54" s="12" t="s">
        <v>303</v>
      </c>
      <c r="E54" s="11" t="s">
        <v>57</v>
      </c>
      <c r="F54" s="11" t="s">
        <v>38</v>
      </c>
      <c r="G54" s="11" t="s">
        <v>78</v>
      </c>
      <c r="H54" s="11" t="s">
        <v>268</v>
      </c>
      <c r="I54" s="11" t="s">
        <v>304</v>
      </c>
      <c r="J54" s="11" t="s">
        <v>166</v>
      </c>
    </row>
    <row r="55" customFormat="false" ht="35.05" hidden="false" customHeight="false" outlineLevel="0" collapsed="false">
      <c r="A55" s="11" t="s">
        <v>305</v>
      </c>
      <c r="B55" s="11" t="s">
        <v>287</v>
      </c>
      <c r="C55" s="11" t="s">
        <v>306</v>
      </c>
      <c r="D55" s="12" t="s">
        <v>307</v>
      </c>
      <c r="E55" s="11" t="s">
        <v>57</v>
      </c>
      <c r="F55" s="11" t="s">
        <v>38</v>
      </c>
      <c r="G55" s="11" t="s">
        <v>39</v>
      </c>
      <c r="H55" s="11" t="s">
        <v>308</v>
      </c>
      <c r="I55" s="11" t="s">
        <v>309</v>
      </c>
      <c r="J55" s="11" t="s">
        <v>166</v>
      </c>
    </row>
    <row r="56" customFormat="false" ht="23.85" hidden="false" customHeight="false" outlineLevel="0" collapsed="false">
      <c r="A56" s="11" t="s">
        <v>310</v>
      </c>
      <c r="B56" s="11" t="s">
        <v>287</v>
      </c>
      <c r="C56" s="11" t="s">
        <v>311</v>
      </c>
      <c r="D56" s="12" t="s">
        <v>312</v>
      </c>
      <c r="E56" s="11" t="s">
        <v>163</v>
      </c>
      <c r="F56" s="11" t="s">
        <v>38</v>
      </c>
      <c r="G56" s="11" t="s">
        <v>39</v>
      </c>
      <c r="H56" s="11" t="s">
        <v>259</v>
      </c>
      <c r="I56" s="11" t="s">
        <v>313</v>
      </c>
      <c r="J56" s="11" t="s">
        <v>109</v>
      </c>
    </row>
    <row r="57" customFormat="false" ht="23.85" hidden="false" customHeight="false" outlineLevel="0" collapsed="false">
      <c r="A57" s="11" t="s">
        <v>314</v>
      </c>
      <c r="B57" s="11" t="s">
        <v>287</v>
      </c>
      <c r="C57" s="11" t="s">
        <v>315</v>
      </c>
      <c r="D57" s="12" t="s">
        <v>316</v>
      </c>
      <c r="E57" s="11" t="s">
        <v>57</v>
      </c>
      <c r="F57" s="11" t="s">
        <v>38</v>
      </c>
      <c r="G57" s="11" t="s">
        <v>72</v>
      </c>
      <c r="H57" s="11" t="s">
        <v>317</v>
      </c>
      <c r="I57" s="11" t="s">
        <v>318</v>
      </c>
      <c r="J57" s="11" t="s">
        <v>166</v>
      </c>
    </row>
    <row r="58" customFormat="false" ht="46.25" hidden="false" customHeight="false" outlineLevel="0" collapsed="false">
      <c r="A58" s="11" t="s">
        <v>319</v>
      </c>
      <c r="B58" s="11" t="s">
        <v>320</v>
      </c>
      <c r="C58" s="11" t="s">
        <v>321</v>
      </c>
      <c r="D58" s="12" t="s">
        <v>322</v>
      </c>
      <c r="E58" s="11" t="s">
        <v>57</v>
      </c>
      <c r="F58" s="11" t="s">
        <v>38</v>
      </c>
      <c r="G58" s="11" t="s">
        <v>213</v>
      </c>
      <c r="H58" s="11" t="s">
        <v>323</v>
      </c>
      <c r="I58" s="11" t="s">
        <v>324</v>
      </c>
      <c r="J58" s="11" t="s">
        <v>109</v>
      </c>
    </row>
    <row r="59" customFormat="false" ht="23.85" hidden="false" customHeight="false" outlineLevel="0" collapsed="false">
      <c r="A59" s="11" t="s">
        <v>325</v>
      </c>
      <c r="B59" s="11" t="s">
        <v>320</v>
      </c>
      <c r="C59" s="11" t="s">
        <v>326</v>
      </c>
      <c r="D59" s="12" t="s">
        <v>327</v>
      </c>
      <c r="E59" s="11" t="s">
        <v>57</v>
      </c>
      <c r="F59" s="11" t="s">
        <v>38</v>
      </c>
      <c r="G59" s="11" t="s">
        <v>213</v>
      </c>
      <c r="H59" s="11" t="s">
        <v>328</v>
      </c>
      <c r="I59" s="11" t="s">
        <v>329</v>
      </c>
      <c r="J59" s="11" t="s">
        <v>109</v>
      </c>
    </row>
    <row r="60" customFormat="false" ht="57.45" hidden="false" customHeight="false" outlineLevel="0" collapsed="false">
      <c r="A60" s="11" t="s">
        <v>330</v>
      </c>
      <c r="B60" s="11" t="s">
        <v>320</v>
      </c>
      <c r="C60" s="11" t="s">
        <v>331</v>
      </c>
      <c r="D60" s="12" t="s">
        <v>332</v>
      </c>
      <c r="E60" s="11" t="s">
        <v>57</v>
      </c>
      <c r="F60" s="11" t="s">
        <v>38</v>
      </c>
      <c r="G60" s="11" t="s">
        <v>213</v>
      </c>
      <c r="H60" s="11" t="s">
        <v>214</v>
      </c>
      <c r="I60" s="11" t="s">
        <v>333</v>
      </c>
      <c r="J60" s="11" t="s">
        <v>109</v>
      </c>
    </row>
    <row r="61" customFormat="false" ht="46.25" hidden="false" customHeight="false" outlineLevel="0" collapsed="false">
      <c r="A61" s="11" t="s">
        <v>334</v>
      </c>
      <c r="B61" s="11" t="s">
        <v>320</v>
      </c>
      <c r="C61" s="11" t="s">
        <v>335</v>
      </c>
      <c r="D61" s="12" t="s">
        <v>336</v>
      </c>
      <c r="E61" s="11" t="s">
        <v>57</v>
      </c>
      <c r="F61" s="11" t="s">
        <v>38</v>
      </c>
      <c r="G61" s="11" t="s">
        <v>78</v>
      </c>
      <c r="H61" s="11" t="s">
        <v>337</v>
      </c>
      <c r="I61" s="11" t="s">
        <v>338</v>
      </c>
      <c r="J61" s="11" t="s">
        <v>109</v>
      </c>
    </row>
  </sheetData>
  <autoFilter ref="A4:J61"/>
  <printOptions headings="false" gridLines="false" gridLinesSet="true" horizontalCentered="tru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20"/>
    <col collapsed="false" customWidth="true" hidden="false" outlineLevel="0" max="6" min="4" style="0" width="10"/>
    <col collapsed="false" customWidth="true" hidden="false" outlineLevel="0" max="7" min="7" style="0" width="14"/>
    <col collapsed="false" customWidth="true" hidden="false" outlineLevel="0" max="8" min="8" style="0" width="13"/>
    <col collapsed="false" customWidth="true" hidden="false" outlineLevel="0" max="9" min="9" style="0" width="14"/>
    <col collapsed="false" customWidth="true" hidden="false" outlineLevel="0" max="10" min="10" style="0" width="22"/>
    <col collapsed="false" customWidth="true" hidden="false" outlineLevel="0" max="11" min="11" style="0" width="48"/>
  </cols>
  <sheetData>
    <row r="1" customFormat="false" ht="17.35" hidden="false" customHeight="false" outlineLevel="0" collapsed="false">
      <c r="A1" s="1" t="s">
        <v>339</v>
      </c>
    </row>
    <row r="2" customFormat="false" ht="15" hidden="false" customHeight="false" outlineLevel="0" collapsed="false">
      <c r="A2" s="2" t="s">
        <v>340</v>
      </c>
    </row>
    <row r="4" customFormat="false" ht="35.05" hidden="false" customHeight="false" outlineLevel="0" collapsed="false">
      <c r="A4" s="10" t="s">
        <v>341</v>
      </c>
      <c r="B4" s="10" t="s">
        <v>342</v>
      </c>
      <c r="C4" s="10" t="s">
        <v>343</v>
      </c>
      <c r="D4" s="10" t="s">
        <v>344</v>
      </c>
      <c r="E4" s="10" t="s">
        <v>345</v>
      </c>
      <c r="F4" s="10" t="s">
        <v>346</v>
      </c>
      <c r="G4" s="10" t="s">
        <v>347</v>
      </c>
      <c r="H4" s="10" t="s">
        <v>348</v>
      </c>
      <c r="I4" s="10" t="s">
        <v>349</v>
      </c>
      <c r="J4" s="10" t="s">
        <v>29</v>
      </c>
      <c r="K4" s="10" t="s">
        <v>350</v>
      </c>
    </row>
    <row r="5" customFormat="false" ht="15" hidden="false" customHeight="false" outlineLevel="0" collapsed="false">
      <c r="A5" s="13" t="s">
        <v>351</v>
      </c>
      <c r="B5" s="13" t="s">
        <v>352</v>
      </c>
      <c r="C5" s="13" t="s">
        <v>353</v>
      </c>
      <c r="D5" s="12" t="n">
        <v>5</v>
      </c>
      <c r="E5" s="12" t="n">
        <v>40</v>
      </c>
      <c r="F5" s="12" t="n">
        <v>100</v>
      </c>
      <c r="G5" s="14" t="n">
        <f aca="false">IF(COUNT(D5:F5)=3,(D5+4*E5+F5)/6,"")</f>
        <v>44.1666666666667</v>
      </c>
      <c r="H5" s="14" t="n">
        <f aca="false">IF(COUNT(D5:F5)=3,(F5-D5)/6,"")</f>
        <v>15.8333333333333</v>
      </c>
      <c r="I5" s="14" t="n">
        <f aca="false">IF(COUNT(D5:F5)=3,(D5+E5+F5)/3,"")</f>
        <v>48.3333333333333</v>
      </c>
      <c r="J5" s="13" t="s">
        <v>38</v>
      </c>
      <c r="K5" s="13"/>
    </row>
    <row r="6" customFormat="false" ht="15" hidden="false" customHeight="false" outlineLevel="0" collapsed="false">
      <c r="A6" s="13" t="s">
        <v>351</v>
      </c>
      <c r="B6" s="13" t="s">
        <v>354</v>
      </c>
      <c r="C6" s="13" t="s">
        <v>355</v>
      </c>
      <c r="D6" s="12" t="n">
        <v>25</v>
      </c>
      <c r="E6" s="12" t="n">
        <v>50</v>
      </c>
      <c r="F6" s="12" t="n">
        <v>65</v>
      </c>
      <c r="G6" s="14" t="n">
        <f aca="false">IF(COUNT(D6:F6)=3,(D6+4*E6+F6)/6,"")</f>
        <v>48.3333333333333</v>
      </c>
      <c r="H6" s="14" t="n">
        <f aca="false">IF(COUNT(D6:F6)=3,(F6-D6)/6,"")</f>
        <v>6.66666666666667</v>
      </c>
      <c r="I6" s="14" t="n">
        <f aca="false">IF(COUNT(D6:F6)=3,(D6+E6+F6)/3,"")</f>
        <v>46.6666666666667</v>
      </c>
      <c r="J6" s="13" t="s">
        <v>38</v>
      </c>
      <c r="K6" s="13"/>
    </row>
    <row r="7" customFormat="false" ht="26.85" hidden="false" customHeight="false" outlineLevel="0" collapsed="false">
      <c r="A7" s="13" t="s">
        <v>351</v>
      </c>
      <c r="B7" s="13" t="s">
        <v>356</v>
      </c>
      <c r="C7" s="13" t="s">
        <v>357</v>
      </c>
      <c r="D7" s="15"/>
      <c r="E7" s="15"/>
      <c r="F7" s="15"/>
      <c r="G7" s="14" t="str">
        <f aca="false">IF(COUNT(D7:F7)=3,(D7+4*E7+F7)/6,"")</f>
        <v/>
      </c>
      <c r="H7" s="14" t="str">
        <f aca="false">IF(COUNT(D7:F7)=3,(F7-D7)/6,"")</f>
        <v/>
      </c>
      <c r="I7" s="14" t="str">
        <f aca="false">IF(COUNT(D7:F7)=3,(D7+E7+F7)/3,"")</f>
        <v/>
      </c>
      <c r="J7" s="13" t="s">
        <v>358</v>
      </c>
      <c r="K7" s="13" t="s">
        <v>359</v>
      </c>
    </row>
    <row r="8" customFormat="false" ht="15" hidden="false" customHeight="false" outlineLevel="0" collapsed="false">
      <c r="A8" s="13" t="s">
        <v>351</v>
      </c>
      <c r="B8" s="13" t="s">
        <v>360</v>
      </c>
      <c r="C8" s="13" t="s">
        <v>361</v>
      </c>
      <c r="D8" s="12" t="n">
        <v>2</v>
      </c>
      <c r="E8" s="12" t="n">
        <v>5</v>
      </c>
      <c r="F8" s="12" t="n">
        <v>10</v>
      </c>
      <c r="G8" s="14" t="n">
        <f aca="false">IF(COUNT(D8:F8)=3,(D8+4*E8+F8)/6,"")</f>
        <v>5.33333333333333</v>
      </c>
      <c r="H8" s="14" t="n">
        <f aca="false">IF(COUNT(D8:F8)=3,(F8-D8)/6,"")</f>
        <v>1.33333333333333</v>
      </c>
      <c r="I8" s="14" t="n">
        <f aca="false">IF(COUNT(D8:F8)=3,(D8+E8+F8)/3,"")</f>
        <v>5.66666666666667</v>
      </c>
      <c r="J8" s="13" t="s">
        <v>38</v>
      </c>
      <c r="K8" s="13"/>
    </row>
    <row r="9" customFormat="false" ht="15" hidden="false" customHeight="false" outlineLevel="0" collapsed="false">
      <c r="A9" s="13" t="s">
        <v>362</v>
      </c>
      <c r="B9" s="13" t="s">
        <v>352</v>
      </c>
      <c r="C9" s="13" t="s">
        <v>363</v>
      </c>
      <c r="D9" s="12" t="n">
        <v>5</v>
      </c>
      <c r="E9" s="12" t="n">
        <v>10</v>
      </c>
      <c r="F9" s="12" t="n">
        <v>35</v>
      </c>
      <c r="G9" s="14" t="n">
        <f aca="false">IF(COUNT(D9:F9)=3,(D9+4*E9+F9)/6,"")</f>
        <v>13.3333333333333</v>
      </c>
      <c r="H9" s="14" t="n">
        <f aca="false">IF(COUNT(D9:F9)=3,(F9-D9)/6,"")</f>
        <v>5</v>
      </c>
      <c r="I9" s="14" t="n">
        <f aca="false">IF(COUNT(D9:F9)=3,(D9+E9+F9)/3,"")</f>
        <v>16.6666666666667</v>
      </c>
      <c r="J9" s="13" t="s">
        <v>38</v>
      </c>
      <c r="K9" s="13"/>
    </row>
    <row r="10" customFormat="false" ht="15" hidden="false" customHeight="false" outlineLevel="0" collapsed="false">
      <c r="A10" s="13" t="s">
        <v>362</v>
      </c>
      <c r="B10" s="13" t="s">
        <v>354</v>
      </c>
      <c r="C10" s="13" t="s">
        <v>364</v>
      </c>
      <c r="D10" s="12" t="n">
        <v>2</v>
      </c>
      <c r="E10" s="12" t="n">
        <v>5</v>
      </c>
      <c r="F10" s="12" t="n">
        <v>30</v>
      </c>
      <c r="G10" s="14" t="n">
        <f aca="false">IF(COUNT(D10:F10)=3,(D10+4*E10+F10)/6,"")</f>
        <v>8.66666666666667</v>
      </c>
      <c r="H10" s="14" t="n">
        <f aca="false">IF(COUNT(D10:F10)=3,(F10-D10)/6,"")</f>
        <v>4.66666666666667</v>
      </c>
      <c r="I10" s="14" t="n">
        <f aca="false">IF(COUNT(D10:F10)=3,(D10+E10+F10)/3,"")</f>
        <v>12.3333333333333</v>
      </c>
      <c r="J10" s="13" t="s">
        <v>38</v>
      </c>
      <c r="K10" s="13"/>
    </row>
    <row r="11" customFormat="false" ht="26.85" hidden="false" customHeight="false" outlineLevel="0" collapsed="false">
      <c r="A11" s="13" t="s">
        <v>362</v>
      </c>
      <c r="B11" s="13" t="s">
        <v>356</v>
      </c>
      <c r="C11" s="13" t="s">
        <v>357</v>
      </c>
      <c r="D11" s="15"/>
      <c r="E11" s="15"/>
      <c r="F11" s="15"/>
      <c r="G11" s="14" t="str">
        <f aca="false">IF(COUNT(D11:F11)=3,(D11+4*E11+F11)/6,"")</f>
        <v/>
      </c>
      <c r="H11" s="14" t="str">
        <f aca="false">IF(COUNT(D11:F11)=3,(F11-D11)/6,"")</f>
        <v/>
      </c>
      <c r="I11" s="14" t="str">
        <f aca="false">IF(COUNT(D11:F11)=3,(D11+E11+F11)/3,"")</f>
        <v/>
      </c>
      <c r="J11" s="13" t="s">
        <v>358</v>
      </c>
      <c r="K11" s="13" t="s">
        <v>359</v>
      </c>
    </row>
    <row r="12" customFormat="false" ht="15" hidden="false" customHeight="false" outlineLevel="0" collapsed="false">
      <c r="A12" s="13" t="s">
        <v>362</v>
      </c>
      <c r="B12" s="13" t="s">
        <v>360</v>
      </c>
      <c r="C12" s="13" t="s">
        <v>365</v>
      </c>
      <c r="D12" s="12" t="n">
        <v>10</v>
      </c>
      <c r="E12" s="12" t="n">
        <v>20</v>
      </c>
      <c r="F12" s="12" t="n">
        <v>45</v>
      </c>
      <c r="G12" s="14" t="n">
        <f aca="false">IF(COUNT(D12:F12)=3,(D12+4*E12+F12)/6,"")</f>
        <v>22.5</v>
      </c>
      <c r="H12" s="14" t="n">
        <f aca="false">IF(COUNT(D12:F12)=3,(F12-D12)/6,"")</f>
        <v>5.83333333333333</v>
      </c>
      <c r="I12" s="14" t="n">
        <f aca="false">IF(COUNT(D12:F12)=3,(D12+E12+F12)/3,"")</f>
        <v>25</v>
      </c>
      <c r="J12" s="13" t="s">
        <v>38</v>
      </c>
      <c r="K12" s="13"/>
    </row>
    <row r="13" customFormat="false" ht="15" hidden="false" customHeight="false" outlineLevel="0" collapsed="false">
      <c r="A13" s="13" t="s">
        <v>366</v>
      </c>
      <c r="B13" s="13" t="s">
        <v>352</v>
      </c>
      <c r="C13" s="13" t="s">
        <v>367</v>
      </c>
      <c r="D13" s="12" t="n">
        <v>5</v>
      </c>
      <c r="E13" s="12" t="n">
        <v>7.5</v>
      </c>
      <c r="F13" s="12" t="n">
        <v>21</v>
      </c>
      <c r="G13" s="14" t="n">
        <f aca="false">IF(COUNT(D13:F13)=3,(D13+4*E13+F13)/6,"")</f>
        <v>9.33333333333333</v>
      </c>
      <c r="H13" s="14" t="n">
        <f aca="false">IF(COUNT(D13:F13)=3,(F13-D13)/6,"")</f>
        <v>2.66666666666667</v>
      </c>
      <c r="I13" s="14" t="n">
        <f aca="false">IF(COUNT(D13:F13)=3,(D13+E13+F13)/3,"")</f>
        <v>11.1666666666667</v>
      </c>
      <c r="J13" s="13" t="s">
        <v>38</v>
      </c>
      <c r="K13" s="13"/>
    </row>
    <row r="14" customFormat="false" ht="39.55" hidden="false" customHeight="false" outlineLevel="0" collapsed="false">
      <c r="A14" s="13" t="s">
        <v>366</v>
      </c>
      <c r="B14" s="13" t="s">
        <v>354</v>
      </c>
      <c r="C14" s="13" t="s">
        <v>368</v>
      </c>
      <c r="D14" s="12" t="n">
        <v>1</v>
      </c>
      <c r="E14" s="16" t="n">
        <f aca="false">(D14+F14)/2</f>
        <v>16.5</v>
      </c>
      <c r="F14" s="12" t="n">
        <v>32</v>
      </c>
      <c r="G14" s="14" t="n">
        <f aca="false">IF(COUNT(D14:F14)=3,(D14+4*E14+F14)/6,"")</f>
        <v>16.5</v>
      </c>
      <c r="H14" s="14" t="n">
        <f aca="false">IF(COUNT(D14:F14)=3,(F14-D14)/6,"")</f>
        <v>5.16666666666667</v>
      </c>
      <c r="I14" s="14" t="n">
        <f aca="false">IF(COUNT(D14:F14)=3,(D14+E14+F14)/3,"")</f>
        <v>16.5</v>
      </c>
      <c r="J14" s="13" t="s">
        <v>358</v>
      </c>
      <c r="K14" s="13" t="s">
        <v>369</v>
      </c>
    </row>
    <row r="15" customFormat="false" ht="15" hidden="false" customHeight="false" outlineLevel="0" collapsed="false">
      <c r="A15" s="13" t="s">
        <v>366</v>
      </c>
      <c r="B15" s="13" t="s">
        <v>356</v>
      </c>
      <c r="C15" s="13" t="s">
        <v>370</v>
      </c>
      <c r="D15" s="12" t="n">
        <v>5</v>
      </c>
      <c r="E15" s="12" t="n">
        <v>10</v>
      </c>
      <c r="F15" s="12" t="n">
        <v>30</v>
      </c>
      <c r="G15" s="14" t="n">
        <f aca="false">IF(COUNT(D15:F15)=3,(D15+4*E15+F15)/6,"")</f>
        <v>12.5</v>
      </c>
      <c r="H15" s="14" t="n">
        <f aca="false">IF(COUNT(D15:F15)=3,(F15-D15)/6,"")</f>
        <v>4.16666666666667</v>
      </c>
      <c r="I15" s="14" t="n">
        <f aca="false">IF(COUNT(D15:F15)=3,(D15+E15+F15)/3,"")</f>
        <v>15</v>
      </c>
      <c r="J15" s="13" t="s">
        <v>38</v>
      </c>
      <c r="K15" s="13"/>
    </row>
    <row r="16" customFormat="false" ht="15" hidden="false" customHeight="false" outlineLevel="0" collapsed="false">
      <c r="A16" s="13" t="s">
        <v>366</v>
      </c>
      <c r="B16" s="13" t="s">
        <v>360</v>
      </c>
      <c r="C16" s="13" t="s">
        <v>371</v>
      </c>
      <c r="D16" s="12" t="n">
        <v>2</v>
      </c>
      <c r="E16" s="12" t="n">
        <v>6</v>
      </c>
      <c r="F16" s="12" t="n">
        <v>10</v>
      </c>
      <c r="G16" s="14" t="n">
        <f aca="false">IF(COUNT(D16:F16)=3,(D16+4*E16+F16)/6,"")</f>
        <v>6</v>
      </c>
      <c r="H16" s="14" t="n">
        <f aca="false">IF(COUNT(D16:F16)=3,(F16-D16)/6,"")</f>
        <v>1.33333333333333</v>
      </c>
      <c r="I16" s="14" t="n">
        <f aca="false">IF(COUNT(D16:F16)=3,(D16+E16+F16)/3,"")</f>
        <v>6</v>
      </c>
      <c r="J16" s="13" t="s">
        <v>38</v>
      </c>
      <c r="K16" s="13"/>
    </row>
    <row r="17" customFormat="false" ht="15" hidden="false" customHeight="false" outlineLevel="0" collapsed="false">
      <c r="A17" s="13" t="s">
        <v>372</v>
      </c>
      <c r="B17" s="13" t="s">
        <v>352</v>
      </c>
      <c r="C17" s="13" t="s">
        <v>373</v>
      </c>
      <c r="D17" s="12" t="n">
        <v>1</v>
      </c>
      <c r="E17" s="12" t="n">
        <v>6</v>
      </c>
      <c r="F17" s="12" t="n">
        <v>25</v>
      </c>
      <c r="G17" s="14" t="n">
        <f aca="false">IF(COUNT(D17:F17)=3,(D17+4*E17+F17)/6,"")</f>
        <v>8.33333333333333</v>
      </c>
      <c r="H17" s="14" t="n">
        <f aca="false">IF(COUNT(D17:F17)=3,(F17-D17)/6,"")</f>
        <v>4</v>
      </c>
      <c r="I17" s="14" t="n">
        <f aca="false">IF(COUNT(D17:F17)=3,(D17+E17+F17)/3,"")</f>
        <v>10.6666666666667</v>
      </c>
      <c r="J17" s="13" t="s">
        <v>38</v>
      </c>
      <c r="K17" s="13"/>
    </row>
    <row r="18" customFormat="false" ht="15" hidden="false" customHeight="false" outlineLevel="0" collapsed="false">
      <c r="A18" s="13" t="s">
        <v>372</v>
      </c>
      <c r="B18" s="13" t="s">
        <v>354</v>
      </c>
      <c r="C18" s="13" t="s">
        <v>374</v>
      </c>
      <c r="D18" s="12" t="n">
        <v>4</v>
      </c>
      <c r="E18" s="12" t="n">
        <v>8</v>
      </c>
      <c r="F18" s="12" t="n">
        <v>16</v>
      </c>
      <c r="G18" s="14" t="n">
        <f aca="false">IF(COUNT(D18:F18)=3,(D18+4*E18+F18)/6,"")</f>
        <v>8.66666666666667</v>
      </c>
      <c r="H18" s="14" t="n">
        <f aca="false">IF(COUNT(D18:F18)=3,(F18-D18)/6,"")</f>
        <v>2</v>
      </c>
      <c r="I18" s="14" t="n">
        <f aca="false">IF(COUNT(D18:F18)=3,(D18+E18+F18)/3,"")</f>
        <v>9.33333333333333</v>
      </c>
      <c r="J18" s="13" t="s">
        <v>38</v>
      </c>
      <c r="K18" s="13"/>
    </row>
    <row r="19" customFormat="false" ht="15" hidden="false" customHeight="false" outlineLevel="0" collapsed="false">
      <c r="A19" s="13" t="s">
        <v>372</v>
      </c>
      <c r="B19" s="13" t="s">
        <v>356</v>
      </c>
      <c r="C19" s="13" t="s">
        <v>375</v>
      </c>
      <c r="D19" s="12" t="n">
        <v>2</v>
      </c>
      <c r="E19" s="12" t="n">
        <v>5</v>
      </c>
      <c r="F19" s="12" t="n">
        <v>56</v>
      </c>
      <c r="G19" s="14" t="n">
        <f aca="false">IF(COUNT(D19:F19)=3,(D19+4*E19+F19)/6,"")</f>
        <v>13</v>
      </c>
      <c r="H19" s="14" t="n">
        <f aca="false">IF(COUNT(D19:F19)=3,(F19-D19)/6,"")</f>
        <v>9</v>
      </c>
      <c r="I19" s="14" t="n">
        <f aca="false">IF(COUNT(D19:F19)=3,(D19+E19+F19)/3,"")</f>
        <v>21</v>
      </c>
      <c r="J19" s="13" t="s">
        <v>38</v>
      </c>
      <c r="K19" s="13"/>
    </row>
    <row r="20" customFormat="false" ht="15" hidden="false" customHeight="false" outlineLevel="0" collapsed="false">
      <c r="A20" s="13" t="s">
        <v>372</v>
      </c>
      <c r="B20" s="13" t="s">
        <v>360</v>
      </c>
      <c r="C20" s="13" t="s">
        <v>376</v>
      </c>
      <c r="D20" s="12" t="n">
        <v>10</v>
      </c>
      <c r="E20" s="12" t="n">
        <v>20</v>
      </c>
      <c r="F20" s="12" t="n">
        <v>30</v>
      </c>
      <c r="G20" s="14" t="n">
        <f aca="false">IF(COUNT(D20:F20)=3,(D20+4*E20+F20)/6,"")</f>
        <v>20</v>
      </c>
      <c r="H20" s="14" t="n">
        <f aca="false">IF(COUNT(D20:F20)=3,(F20-D20)/6,"")</f>
        <v>3.33333333333333</v>
      </c>
      <c r="I20" s="14" t="n">
        <f aca="false">IF(COUNT(D20:F20)=3,(D20+E20+F20)/3,"")</f>
        <v>20</v>
      </c>
      <c r="J20" s="13" t="s">
        <v>38</v>
      </c>
      <c r="K20" s="13"/>
    </row>
    <row r="21" customFormat="false" ht="15" hidden="false" customHeight="false" outlineLevel="0" collapsed="false">
      <c r="A21" s="13" t="s">
        <v>377</v>
      </c>
      <c r="B21" s="13" t="s">
        <v>352</v>
      </c>
      <c r="C21" s="13" t="s">
        <v>370</v>
      </c>
      <c r="D21" s="12" t="n">
        <v>5</v>
      </c>
      <c r="E21" s="12" t="n">
        <v>10</v>
      </c>
      <c r="F21" s="12" t="n">
        <v>30</v>
      </c>
      <c r="G21" s="14" t="n">
        <f aca="false">IF(COUNT(D21:F21)=3,(D21+4*E21+F21)/6,"")</f>
        <v>12.5</v>
      </c>
      <c r="H21" s="14" t="n">
        <f aca="false">IF(COUNT(D21:F21)=3,(F21-D21)/6,"")</f>
        <v>4.16666666666667</v>
      </c>
      <c r="I21" s="14" t="n">
        <f aca="false">IF(COUNT(D21:F21)=3,(D21+E21+F21)/3,"")</f>
        <v>15</v>
      </c>
      <c r="J21" s="13" t="s">
        <v>38</v>
      </c>
      <c r="K21" s="13"/>
    </row>
    <row r="22" customFormat="false" ht="15" hidden="false" customHeight="false" outlineLevel="0" collapsed="false">
      <c r="A22" s="13" t="s">
        <v>377</v>
      </c>
      <c r="B22" s="13" t="s">
        <v>354</v>
      </c>
      <c r="C22" s="13" t="s">
        <v>378</v>
      </c>
      <c r="D22" s="12" t="n">
        <v>1</v>
      </c>
      <c r="E22" s="12" t="n">
        <v>3</v>
      </c>
      <c r="F22" s="12" t="n">
        <v>12</v>
      </c>
      <c r="G22" s="14" t="n">
        <f aca="false">IF(COUNT(D22:F22)=3,(D22+4*E22+F22)/6,"")</f>
        <v>4.16666666666667</v>
      </c>
      <c r="H22" s="14" t="n">
        <f aca="false">IF(COUNT(D22:F22)=3,(F22-D22)/6,"")</f>
        <v>1.83333333333333</v>
      </c>
      <c r="I22" s="14" t="n">
        <f aca="false">IF(COUNT(D22:F22)=3,(D22+E22+F22)/3,"")</f>
        <v>5.33333333333333</v>
      </c>
      <c r="J22" s="13" t="s">
        <v>38</v>
      </c>
      <c r="K22" s="13"/>
    </row>
    <row r="23" customFormat="false" ht="39.55" hidden="false" customHeight="false" outlineLevel="0" collapsed="false">
      <c r="A23" s="13" t="s">
        <v>377</v>
      </c>
      <c r="B23" s="13" t="s">
        <v>356</v>
      </c>
      <c r="C23" s="13" t="s">
        <v>379</v>
      </c>
      <c r="D23" s="12" t="n">
        <v>12</v>
      </c>
      <c r="E23" s="16" t="n">
        <f aca="false">(D23+F23)/2</f>
        <v>96</v>
      </c>
      <c r="F23" s="12" t="n">
        <v>180</v>
      </c>
      <c r="G23" s="14" t="n">
        <f aca="false">IF(COUNT(D23:F23)=3,(D23+4*E23+F23)/6,"")</f>
        <v>96</v>
      </c>
      <c r="H23" s="14" t="n">
        <f aca="false">IF(COUNT(D23:F23)=3,(F23-D23)/6,"")</f>
        <v>28</v>
      </c>
      <c r="I23" s="14" t="n">
        <f aca="false">IF(COUNT(D23:F23)=3,(D23+E23+F23)/3,"")</f>
        <v>96</v>
      </c>
      <c r="J23" s="13" t="s">
        <v>358</v>
      </c>
      <c r="K23" s="13" t="s">
        <v>369</v>
      </c>
    </row>
    <row r="24" customFormat="false" ht="15" hidden="false" customHeight="false" outlineLevel="0" collapsed="false">
      <c r="A24" s="13" t="s">
        <v>377</v>
      </c>
      <c r="B24" s="13" t="s">
        <v>360</v>
      </c>
      <c r="C24" s="13" t="s">
        <v>380</v>
      </c>
      <c r="D24" s="12" t="n">
        <v>4</v>
      </c>
      <c r="E24" s="12" t="n">
        <v>9</v>
      </c>
      <c r="F24" s="12" t="n">
        <v>16</v>
      </c>
      <c r="G24" s="14" t="n">
        <f aca="false">IF(COUNT(D24:F24)=3,(D24+4*E24+F24)/6,"")</f>
        <v>9.33333333333333</v>
      </c>
      <c r="H24" s="14" t="n">
        <f aca="false">IF(COUNT(D24:F24)=3,(F24-D24)/6,"")</f>
        <v>2</v>
      </c>
      <c r="I24" s="14" t="n">
        <f aca="false">IF(COUNT(D24:F24)=3,(D24+E24+F24)/3,"")</f>
        <v>9.66666666666667</v>
      </c>
      <c r="J24" s="13" t="s">
        <v>38</v>
      </c>
      <c r="K24" s="13"/>
    </row>
    <row r="25" customFormat="false" ht="15" hidden="false" customHeight="false" outlineLevel="0" collapsed="false">
      <c r="A25" s="13" t="s">
        <v>381</v>
      </c>
      <c r="B25" s="13" t="s">
        <v>352</v>
      </c>
      <c r="C25" s="13" t="s">
        <v>382</v>
      </c>
      <c r="D25" s="12" t="n">
        <v>5</v>
      </c>
      <c r="E25" s="12" t="n">
        <v>10</v>
      </c>
      <c r="F25" s="12" t="n">
        <v>20</v>
      </c>
      <c r="G25" s="14" t="n">
        <f aca="false">IF(COUNT(D25:F25)=3,(D25+4*E25+F25)/6,"")</f>
        <v>10.8333333333333</v>
      </c>
      <c r="H25" s="14" t="n">
        <f aca="false">IF(COUNT(D25:F25)=3,(F25-D25)/6,"")</f>
        <v>2.5</v>
      </c>
      <c r="I25" s="14" t="n">
        <f aca="false">IF(COUNT(D25:F25)=3,(D25+E25+F25)/3,"")</f>
        <v>11.6666666666667</v>
      </c>
      <c r="J25" s="13" t="s">
        <v>38</v>
      </c>
      <c r="K25" s="13"/>
    </row>
    <row r="26" customFormat="false" ht="15" hidden="false" customHeight="false" outlineLevel="0" collapsed="false">
      <c r="A26" s="13" t="s">
        <v>381</v>
      </c>
      <c r="B26" s="13" t="s">
        <v>354</v>
      </c>
      <c r="C26" s="13" t="s">
        <v>383</v>
      </c>
      <c r="D26" s="12" t="n">
        <v>1</v>
      </c>
      <c r="E26" s="12" t="n">
        <v>5</v>
      </c>
      <c r="F26" s="12" t="n">
        <v>20</v>
      </c>
      <c r="G26" s="14" t="n">
        <f aca="false">IF(COUNT(D26:F26)=3,(D26+4*E26+F26)/6,"")</f>
        <v>6.83333333333333</v>
      </c>
      <c r="H26" s="14" t="n">
        <f aca="false">IF(COUNT(D26:F26)=3,(F26-D26)/6,"")</f>
        <v>3.16666666666667</v>
      </c>
      <c r="I26" s="14" t="n">
        <f aca="false">IF(COUNT(D26:F26)=3,(D26+E26+F26)/3,"")</f>
        <v>8.66666666666667</v>
      </c>
      <c r="J26" s="13" t="s">
        <v>38</v>
      </c>
      <c r="K26" s="13"/>
    </row>
    <row r="27" customFormat="false" ht="15" hidden="false" customHeight="false" outlineLevel="0" collapsed="false">
      <c r="A27" s="13" t="s">
        <v>381</v>
      </c>
      <c r="B27" s="13" t="s">
        <v>356</v>
      </c>
      <c r="C27" s="13" t="s">
        <v>384</v>
      </c>
      <c r="D27" s="12" t="n">
        <v>11</v>
      </c>
      <c r="E27" s="12" t="n">
        <v>25</v>
      </c>
      <c r="F27" s="12" t="n">
        <v>203</v>
      </c>
      <c r="G27" s="14" t="n">
        <f aca="false">IF(COUNT(D27:F27)=3,(D27+4*E27+F27)/6,"")</f>
        <v>52.3333333333333</v>
      </c>
      <c r="H27" s="14" t="n">
        <f aca="false">IF(COUNT(D27:F27)=3,(F27-D27)/6,"")</f>
        <v>32</v>
      </c>
      <c r="I27" s="14" t="n">
        <f aca="false">IF(COUNT(D27:F27)=3,(D27+E27+F27)/3,"")</f>
        <v>79.6666666666667</v>
      </c>
      <c r="J27" s="13" t="s">
        <v>38</v>
      </c>
      <c r="K27" s="13"/>
    </row>
    <row r="28" customFormat="false" ht="15" hidden="false" customHeight="false" outlineLevel="0" collapsed="false">
      <c r="A28" s="13" t="s">
        <v>381</v>
      </c>
      <c r="B28" s="13" t="s">
        <v>360</v>
      </c>
      <c r="C28" s="13" t="s">
        <v>385</v>
      </c>
      <c r="D28" s="12" t="n">
        <v>2</v>
      </c>
      <c r="E28" s="12" t="n">
        <v>7</v>
      </c>
      <c r="F28" s="12" t="n">
        <v>30</v>
      </c>
      <c r="G28" s="14" t="n">
        <f aca="false">IF(COUNT(D28:F28)=3,(D28+4*E28+F28)/6,"")</f>
        <v>10</v>
      </c>
      <c r="H28" s="14" t="n">
        <f aca="false">IF(COUNT(D28:F28)=3,(F28-D28)/6,"")</f>
        <v>4.66666666666667</v>
      </c>
      <c r="I28" s="14" t="n">
        <f aca="false">IF(COUNT(D28:F28)=3,(D28+E28+F28)/3,"")</f>
        <v>13</v>
      </c>
      <c r="J28" s="13" t="s">
        <v>38</v>
      </c>
      <c r="K28" s="13"/>
    </row>
    <row r="29" customFormat="false" ht="15" hidden="false" customHeight="false" outlineLevel="0" collapsed="false">
      <c r="A29" s="17" t="s">
        <v>386</v>
      </c>
    </row>
    <row r="31" customFormat="false" ht="15" hidden="false" customHeight="false" outlineLevel="0" collapsed="false">
      <c r="A31" s="5" t="s">
        <v>387</v>
      </c>
    </row>
    <row r="32" customFormat="false" ht="23.85" hidden="false" customHeight="false" outlineLevel="0" collapsed="false">
      <c r="A32" s="10" t="s">
        <v>341</v>
      </c>
      <c r="B32" s="10" t="s">
        <v>388</v>
      </c>
      <c r="C32" s="10" t="s">
        <v>389</v>
      </c>
      <c r="D32" s="10" t="s">
        <v>390</v>
      </c>
      <c r="E32" s="10" t="s">
        <v>391</v>
      </c>
      <c r="F32" s="10" t="s">
        <v>392</v>
      </c>
    </row>
    <row r="33" customFormat="false" ht="15" hidden="false" customHeight="false" outlineLevel="0" collapsed="false">
      <c r="A33" s="18" t="s">
        <v>351</v>
      </c>
      <c r="B33" s="19" t="s">
        <v>393</v>
      </c>
      <c r="C33" s="19" t="s">
        <v>394</v>
      </c>
      <c r="D33" s="19" t="s">
        <v>395</v>
      </c>
      <c r="E33" s="19" t="s">
        <v>396</v>
      </c>
      <c r="F33" s="19" t="s">
        <v>397</v>
      </c>
    </row>
    <row r="34" customFormat="false" ht="15" hidden="false" customHeight="false" outlineLevel="0" collapsed="false">
      <c r="A34" s="18" t="s">
        <v>362</v>
      </c>
      <c r="B34" s="19" t="s">
        <v>398</v>
      </c>
      <c r="C34" s="19" t="s">
        <v>399</v>
      </c>
      <c r="D34" s="19" t="s">
        <v>400</v>
      </c>
      <c r="E34" s="19" t="s">
        <v>401</v>
      </c>
      <c r="F34" s="19" t="s">
        <v>402</v>
      </c>
    </row>
    <row r="35" customFormat="false" ht="15" hidden="false" customHeight="false" outlineLevel="0" collapsed="false">
      <c r="A35" s="18" t="s">
        <v>366</v>
      </c>
      <c r="B35" s="19" t="s">
        <v>403</v>
      </c>
      <c r="C35" s="19" t="s">
        <v>403</v>
      </c>
      <c r="D35" s="19" t="s">
        <v>404</v>
      </c>
      <c r="E35" s="19" t="s">
        <v>405</v>
      </c>
      <c r="F35" s="19" t="s">
        <v>406</v>
      </c>
    </row>
    <row r="36" customFormat="false" ht="15" hidden="false" customHeight="false" outlineLevel="0" collapsed="false">
      <c r="A36" s="18" t="s">
        <v>372</v>
      </c>
      <c r="B36" s="19" t="s">
        <v>403</v>
      </c>
      <c r="C36" s="19" t="s">
        <v>403</v>
      </c>
      <c r="D36" s="19" t="s">
        <v>407</v>
      </c>
      <c r="E36" s="19" t="s">
        <v>408</v>
      </c>
      <c r="F36" s="19" t="s">
        <v>409</v>
      </c>
    </row>
    <row r="37" customFormat="false" ht="15" hidden="false" customHeight="false" outlineLevel="0" collapsed="false">
      <c r="A37" s="18" t="s">
        <v>377</v>
      </c>
      <c r="B37" s="19" t="s">
        <v>403</v>
      </c>
      <c r="C37" s="19" t="s">
        <v>403</v>
      </c>
      <c r="D37" s="19" t="s">
        <v>410</v>
      </c>
      <c r="E37" s="19" t="s">
        <v>411</v>
      </c>
      <c r="F37" s="19" t="s">
        <v>412</v>
      </c>
    </row>
    <row r="38" customFormat="false" ht="15" hidden="false" customHeight="false" outlineLevel="0" collapsed="false">
      <c r="A38" s="18" t="s">
        <v>381</v>
      </c>
      <c r="B38" s="19" t="s">
        <v>403</v>
      </c>
      <c r="C38" s="19" t="s">
        <v>403</v>
      </c>
      <c r="D38" s="19" t="s">
        <v>413</v>
      </c>
      <c r="E38" s="19" t="s">
        <v>414</v>
      </c>
      <c r="F38" s="19" t="s">
        <v>415</v>
      </c>
    </row>
    <row r="39" customFormat="false" ht="15" hidden="false" customHeight="false" outlineLevel="0" collapsed="false">
      <c r="A39" s="17" t="s">
        <v>416</v>
      </c>
    </row>
    <row r="41" customFormat="false" ht="15" hidden="false" customHeight="false" outlineLevel="0" collapsed="false">
      <c r="A41" s="5" t="s">
        <v>417</v>
      </c>
    </row>
    <row r="42" customFormat="false" ht="23.85" hidden="false" customHeight="false" outlineLevel="0" collapsed="false">
      <c r="A42" s="10" t="s">
        <v>342</v>
      </c>
      <c r="B42" s="10" t="s">
        <v>418</v>
      </c>
      <c r="C42" s="10" t="s">
        <v>419</v>
      </c>
      <c r="D42" s="10" t="s">
        <v>420</v>
      </c>
      <c r="E42" s="10" t="s">
        <v>421</v>
      </c>
      <c r="F42" s="10" t="s">
        <v>422</v>
      </c>
    </row>
    <row r="43" customFormat="false" ht="15" hidden="false" customHeight="false" outlineLevel="0" collapsed="false">
      <c r="A43" s="18" t="s">
        <v>423</v>
      </c>
      <c r="B43" s="19" t="n">
        <v>139</v>
      </c>
      <c r="C43" s="19" t="n">
        <v>93</v>
      </c>
      <c r="D43" s="18" t="n">
        <f aca="false">B43-C43</f>
        <v>46</v>
      </c>
      <c r="E43" s="20" t="n">
        <f aca="false">IF(B43=0,"",D43/B43)</f>
        <v>0.330935251798561</v>
      </c>
      <c r="F43" s="21" t="n">
        <v>0.33</v>
      </c>
    </row>
    <row r="44" customFormat="false" ht="15" hidden="false" customHeight="false" outlineLevel="0" collapsed="false">
      <c r="A44" s="18" t="s">
        <v>389</v>
      </c>
      <c r="B44" s="19" t="n">
        <v>159</v>
      </c>
      <c r="C44" s="19" t="n">
        <v>102</v>
      </c>
      <c r="D44" s="18" t="n">
        <f aca="false">B44-C44</f>
        <v>57</v>
      </c>
      <c r="E44" s="20" t="n">
        <f aca="false">IF(B44=0,"",D44/B44)</f>
        <v>0.358490566037736</v>
      </c>
      <c r="F44" s="21" t="n">
        <v>0.36</v>
      </c>
    </row>
    <row r="45" customFormat="false" ht="15" hidden="false" customHeight="false" outlineLevel="0" collapsed="false">
      <c r="A45" s="18" t="s">
        <v>352</v>
      </c>
      <c r="B45" s="19" t="n">
        <v>143</v>
      </c>
      <c r="C45" s="19" t="n">
        <v>117</v>
      </c>
      <c r="D45" s="18" t="n">
        <f aca="false">B45-C45</f>
        <v>26</v>
      </c>
      <c r="E45" s="20" t="n">
        <f aca="false">IF(B45=0,"",D45/B45)</f>
        <v>0.181818181818182</v>
      </c>
      <c r="F45" s="21" t="n">
        <v>0.18</v>
      </c>
    </row>
    <row r="46" customFormat="false" ht="15" hidden="false" customHeight="false" outlineLevel="0" collapsed="false">
      <c r="A46" s="18" t="s">
        <v>424</v>
      </c>
      <c r="B46" s="19" t="n">
        <v>221</v>
      </c>
      <c r="C46" s="19" t="n">
        <v>217</v>
      </c>
      <c r="D46" s="18" t="n">
        <f aca="false">B46-C46</f>
        <v>4</v>
      </c>
      <c r="E46" s="20" t="n">
        <f aca="false">IF(B46=0,"",D46/B46)</f>
        <v>0.0180995475113122</v>
      </c>
      <c r="F46" s="21" t="n">
        <v>0.02</v>
      </c>
    </row>
    <row r="47" customFormat="false" ht="15" hidden="false" customHeight="false" outlineLevel="0" collapsed="false">
      <c r="A47" s="5" t="s">
        <v>425</v>
      </c>
      <c r="B47" s="5" t="n">
        <f aca="false">SUM(B43:B46)</f>
        <v>662</v>
      </c>
      <c r="C47" s="5" t="n">
        <f aca="false">SUM(C43:C46)</f>
        <v>529</v>
      </c>
      <c r="D47" s="5" t="n">
        <f aca="false">B47-C47</f>
        <v>133</v>
      </c>
      <c r="E47" s="22" t="n">
        <f aca="false">IF(B47=0,"",D47/B47)</f>
        <v>0.200906344410876</v>
      </c>
      <c r="F47" s="23" t="n">
        <v>0.2</v>
      </c>
    </row>
    <row r="48" customFormat="false" ht="15" hidden="false" customHeight="false" outlineLevel="0" collapsed="false">
      <c r="A48" s="17" t="s">
        <v>426</v>
      </c>
    </row>
  </sheetData>
  <printOptions headings="false" gridLines="false" gridLinesSet="true" horizontalCentered="tru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20"/>
    <col collapsed="false" customWidth="true" hidden="false" outlineLevel="0" max="4" min="4" style="0" width="16"/>
    <col collapsed="false" customWidth="true" hidden="false" outlineLevel="0" max="5" min="5" style="0" width="46"/>
    <col collapsed="false" customWidth="true" hidden="false" outlineLevel="0" max="6" min="6" style="0" width="18"/>
  </cols>
  <sheetData>
    <row r="1" customFormat="false" ht="17.35" hidden="false" customHeight="false" outlineLevel="0" collapsed="false">
      <c r="A1" s="1" t="s">
        <v>427</v>
      </c>
    </row>
    <row r="2" customFormat="false" ht="15" hidden="false" customHeight="false" outlineLevel="0" collapsed="false">
      <c r="A2" s="2" t="s">
        <v>428</v>
      </c>
    </row>
    <row r="4" customFormat="false" ht="23.85" hidden="false" customHeight="false" outlineLevel="0" collapsed="false">
      <c r="A4" s="10" t="s">
        <v>341</v>
      </c>
      <c r="B4" s="10" t="s">
        <v>429</v>
      </c>
      <c r="C4" s="10" t="s">
        <v>430</v>
      </c>
      <c r="D4" s="10" t="s">
        <v>431</v>
      </c>
      <c r="E4" s="10" t="s">
        <v>432</v>
      </c>
      <c r="F4" s="10" t="s">
        <v>433</v>
      </c>
    </row>
    <row r="5" customFormat="false" ht="15" hidden="false" customHeight="false" outlineLevel="0" collapsed="false">
      <c r="A5" s="18" t="s">
        <v>351</v>
      </c>
      <c r="B5" s="24" t="n">
        <v>0.407</v>
      </c>
      <c r="C5" s="25" t="n">
        <v>6099</v>
      </c>
      <c r="D5" s="26" t="n">
        <f aca="false">C5/$C$11</f>
        <v>0.39802910657182</v>
      </c>
      <c r="E5" s="27" t="n">
        <f aca="false">C5/$B$14</f>
        <v>16.7095890410959</v>
      </c>
      <c r="F5" s="27" t="n">
        <f aca="false">C5/$B$15</f>
        <v>23.4576923076923</v>
      </c>
    </row>
    <row r="6" customFormat="false" ht="15" hidden="false" customHeight="false" outlineLevel="0" collapsed="false">
      <c r="A6" s="18" t="s">
        <v>362</v>
      </c>
      <c r="B6" s="24" t="n">
        <v>0.257</v>
      </c>
      <c r="C6" s="25" t="n">
        <v>3910</v>
      </c>
      <c r="D6" s="26" t="n">
        <f aca="false">C6/$C$11</f>
        <v>0.255171963714677</v>
      </c>
      <c r="E6" s="27" t="n">
        <f aca="false">C6/$B$14</f>
        <v>10.7123287671233</v>
      </c>
      <c r="F6" s="27" t="n">
        <f aca="false">C6/$B$15</f>
        <v>15.0384615384615</v>
      </c>
    </row>
    <row r="7" customFormat="false" ht="15" hidden="false" customHeight="false" outlineLevel="0" collapsed="false">
      <c r="A7" s="18" t="s">
        <v>366</v>
      </c>
      <c r="B7" s="24" t="n">
        <v>0.188</v>
      </c>
      <c r="C7" s="25" t="n">
        <v>3014</v>
      </c>
      <c r="D7" s="26" t="n">
        <f aca="false">C7/$C$11</f>
        <v>0.196697774587222</v>
      </c>
      <c r="E7" s="27" t="n">
        <f aca="false">C7/$B$14</f>
        <v>8.25753424657534</v>
      </c>
      <c r="F7" s="27" t="n">
        <f aca="false">C7/$B$15</f>
        <v>11.5923076923077</v>
      </c>
    </row>
    <row r="8" customFormat="false" ht="15" hidden="false" customHeight="false" outlineLevel="0" collapsed="false">
      <c r="A8" s="18" t="s">
        <v>372</v>
      </c>
      <c r="B8" s="24" t="n">
        <v>0.071</v>
      </c>
      <c r="C8" s="25" t="n">
        <v>1240</v>
      </c>
      <c r="D8" s="26" t="n">
        <f aca="false">C8/$C$11</f>
        <v>0.0809241010246035</v>
      </c>
      <c r="E8" s="27" t="n">
        <f aca="false">C8/$B$14</f>
        <v>3.3972602739726</v>
      </c>
      <c r="F8" s="27" t="n">
        <f aca="false">C8/$B$15</f>
        <v>4.76923076923077</v>
      </c>
    </row>
    <row r="9" customFormat="false" ht="15" hidden="false" customHeight="false" outlineLevel="0" collapsed="false">
      <c r="A9" s="18" t="s">
        <v>377</v>
      </c>
      <c r="B9" s="24" t="n">
        <v>0.04</v>
      </c>
      <c r="C9" s="25" t="n">
        <v>581</v>
      </c>
      <c r="D9" s="26" t="n">
        <f aca="false">C9/$C$11</f>
        <v>0.0379168570123344</v>
      </c>
      <c r="E9" s="27" t="n">
        <f aca="false">C9/$B$14</f>
        <v>1.59178082191781</v>
      </c>
      <c r="F9" s="27" t="n">
        <f aca="false">C9/$B$15</f>
        <v>2.23461538461538</v>
      </c>
    </row>
    <row r="10" customFormat="false" ht="15" hidden="false" customHeight="false" outlineLevel="0" collapsed="false">
      <c r="A10" s="18" t="s">
        <v>381</v>
      </c>
      <c r="B10" s="24" t="n">
        <v>0.037</v>
      </c>
      <c r="C10" s="25" t="n">
        <v>479</v>
      </c>
      <c r="D10" s="26" t="n">
        <f aca="false">C10/$C$11</f>
        <v>0.0312601970893428</v>
      </c>
      <c r="E10" s="27" t="n">
        <f aca="false">C10/$B$14</f>
        <v>1.31232876712329</v>
      </c>
      <c r="F10" s="27" t="n">
        <f aca="false">C10/$B$15</f>
        <v>1.84230769230769</v>
      </c>
    </row>
    <row r="11" customFormat="false" ht="15" hidden="false" customHeight="false" outlineLevel="0" collapsed="false">
      <c r="A11" s="5" t="s">
        <v>434</v>
      </c>
      <c r="B11" s="28" t="n">
        <f aca="false">SUM(B5:B10)</f>
        <v>1</v>
      </c>
      <c r="C11" s="29" t="n">
        <f aca="false">SUM(C5:C10)</f>
        <v>15323</v>
      </c>
      <c r="D11" s="28" t="n">
        <f aca="false">SUM(D5:D10)</f>
        <v>1</v>
      </c>
      <c r="E11" s="30" t="n">
        <f aca="false">SUM(E5:E10)</f>
        <v>41.9808219178082</v>
      </c>
      <c r="F11" s="30" t="n">
        <f aca="false">SUM(F5:F10)</f>
        <v>58.9346153846154</v>
      </c>
    </row>
    <row r="12" customFormat="false" ht="15" hidden="false" customHeight="false" outlineLevel="0" collapsed="false">
      <c r="A12" s="17" t="s">
        <v>435</v>
      </c>
    </row>
    <row r="14" customFormat="false" ht="15" hidden="false" customHeight="false" outlineLevel="0" collapsed="false">
      <c r="A14" s="8" t="s">
        <v>436</v>
      </c>
      <c r="B14" s="6" t="n">
        <v>365</v>
      </c>
      <c r="C14" s="31" t="s">
        <v>437</v>
      </c>
    </row>
    <row r="15" customFormat="false" ht="15" hidden="false" customHeight="false" outlineLevel="0" collapsed="false">
      <c r="A15" s="8" t="s">
        <v>438</v>
      </c>
      <c r="B15" s="32" t="n">
        <v>260</v>
      </c>
      <c r="C15" s="31" t="s">
        <v>439</v>
      </c>
    </row>
    <row r="17" customFormat="false" ht="15" hidden="false" customHeight="false" outlineLevel="0" collapsed="false">
      <c r="A17" s="5" t="s">
        <v>440</v>
      </c>
    </row>
    <row r="18" customFormat="false" ht="23.85" hidden="false" customHeight="false" outlineLevel="0" collapsed="false">
      <c r="A18" s="10" t="s">
        <v>441</v>
      </c>
      <c r="B18" s="10" t="s">
        <v>113</v>
      </c>
      <c r="C18" s="10" t="s">
        <v>442</v>
      </c>
    </row>
    <row r="19" customFormat="false" ht="15" hidden="false" customHeight="false" outlineLevel="0" collapsed="false">
      <c r="A19" s="6" t="n">
        <v>1</v>
      </c>
      <c r="B19" s="33" t="n">
        <v>0.85</v>
      </c>
      <c r="C19" s="34" t="n">
        <f aca="false">A19*B19</f>
        <v>0.85</v>
      </c>
    </row>
    <row r="20" customFormat="false" ht="15" hidden="false" customHeight="false" outlineLevel="0" collapsed="false">
      <c r="A20" s="6" t="n">
        <v>2</v>
      </c>
      <c r="B20" s="33" t="n">
        <v>0.1</v>
      </c>
      <c r="C20" s="34" t="n">
        <f aca="false">A20*B20</f>
        <v>0.2</v>
      </c>
    </row>
    <row r="21" customFormat="false" ht="15" hidden="false" customHeight="false" outlineLevel="0" collapsed="false">
      <c r="A21" s="6" t="n">
        <v>3</v>
      </c>
      <c r="B21" s="33" t="n">
        <v>0.05</v>
      </c>
      <c r="C21" s="34" t="n">
        <f aca="false">A21*B21</f>
        <v>0.15</v>
      </c>
    </row>
    <row r="22" customFormat="false" ht="15" hidden="false" customHeight="false" outlineLevel="0" collapsed="false">
      <c r="A22" s="5" t="s">
        <v>443</v>
      </c>
      <c r="C22" s="35" t="n">
        <f aca="false">SUM(C19:C21)</f>
        <v>1.2</v>
      </c>
    </row>
    <row r="23" customFormat="false" ht="15" hidden="false" customHeight="false" outlineLevel="0" collapsed="false">
      <c r="A23" s="8" t="s">
        <v>444</v>
      </c>
      <c r="C23" s="36" t="n">
        <f aca="false">SUM(B19:B21)</f>
        <v>1</v>
      </c>
    </row>
    <row r="25" customFormat="false" ht="15" hidden="false" customHeight="false" outlineLevel="0" collapsed="false">
      <c r="A25" s="5" t="s">
        <v>445</v>
      </c>
    </row>
    <row r="26" customFormat="false" ht="23.85" hidden="false" customHeight="false" outlineLevel="0" collapsed="false">
      <c r="A26" s="10" t="s">
        <v>446</v>
      </c>
      <c r="B26" s="10" t="s">
        <v>447</v>
      </c>
      <c r="C26" s="10" t="s">
        <v>448</v>
      </c>
      <c r="D26" s="10" t="s">
        <v>449</v>
      </c>
      <c r="E26" s="10" t="s">
        <v>450</v>
      </c>
    </row>
    <row r="27" customFormat="false" ht="15" hidden="false" customHeight="false" outlineLevel="0" collapsed="false">
      <c r="A27" s="18" t="s">
        <v>451</v>
      </c>
      <c r="B27" s="37" t="n">
        <v>0.7</v>
      </c>
      <c r="C27" s="27" t="n">
        <f aca="false">$E$11*B27</f>
        <v>29.3865753424658</v>
      </c>
      <c r="D27" s="27" t="n">
        <f aca="false">IF($C$22=0,"",C27/$C$22)</f>
        <v>24.4888127853881</v>
      </c>
      <c r="E27" s="38" t="s">
        <v>452</v>
      </c>
    </row>
    <row r="28" customFormat="false" ht="15" hidden="false" customHeight="false" outlineLevel="0" collapsed="false">
      <c r="A28" s="18" t="s">
        <v>453</v>
      </c>
      <c r="B28" s="39" t="n">
        <v>1</v>
      </c>
      <c r="C28" s="27" t="n">
        <f aca="false">$E$11*B28</f>
        <v>41.9808219178082</v>
      </c>
      <c r="D28" s="27" t="n">
        <f aca="false">IF($C$22=0,"",C28/$C$22)</f>
        <v>34.9840182648402</v>
      </c>
      <c r="E28" s="38" t="s">
        <v>454</v>
      </c>
    </row>
    <row r="29" customFormat="false" ht="15" hidden="false" customHeight="false" outlineLevel="0" collapsed="false">
      <c r="A29" s="18" t="s">
        <v>455</v>
      </c>
      <c r="B29" s="39" t="n">
        <v>1.5</v>
      </c>
      <c r="C29" s="27" t="n">
        <f aca="false">$E$11*B29</f>
        <v>62.9712328767123</v>
      </c>
      <c r="D29" s="27" t="n">
        <f aca="false">IF($C$22=0,"",C29/$C$22)</f>
        <v>52.4760273972603</v>
      </c>
      <c r="E29" s="38" t="s">
        <v>456</v>
      </c>
    </row>
    <row r="31" customFormat="false" ht="15" hidden="false" customHeight="false" outlineLevel="0" collapsed="false">
      <c r="A31" s="17" t="s">
        <v>457</v>
      </c>
    </row>
  </sheetData>
  <printOptions headings="false" gridLines="false" gridLinesSet="true" horizontalCentered="tru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40"/>
    <col collapsed="false" customWidth="true" hidden="false" outlineLevel="0" max="4" min="4" style="0" width="18"/>
    <col collapsed="false" customWidth="true" hidden="false" outlineLevel="0" max="5" min="5" style="0" width="24"/>
    <col collapsed="false" customWidth="true" hidden="false" outlineLevel="0" max="6" min="6" style="0" width="50"/>
  </cols>
  <sheetData>
    <row r="1" customFormat="false" ht="17.35" hidden="false" customHeight="false" outlineLevel="0" collapsed="false">
      <c r="A1" s="1" t="s">
        <v>458</v>
      </c>
    </row>
    <row r="2" customFormat="false" ht="15" hidden="false" customHeight="false" outlineLevel="0" collapsed="false">
      <c r="A2" s="2" t="s">
        <v>459</v>
      </c>
    </row>
    <row r="4" customFormat="false" ht="23.85" hidden="false" customHeight="false" outlineLevel="0" collapsed="false">
      <c r="A4" s="10" t="s">
        <v>24</v>
      </c>
      <c r="B4" s="10" t="s">
        <v>26</v>
      </c>
      <c r="C4" s="10" t="s">
        <v>460</v>
      </c>
      <c r="D4" s="10" t="s">
        <v>461</v>
      </c>
      <c r="E4" s="10" t="s">
        <v>462</v>
      </c>
      <c r="F4" s="10" t="s">
        <v>463</v>
      </c>
    </row>
    <row r="5" customFormat="false" ht="35.05" hidden="false" customHeight="false" outlineLevel="0" collapsed="false">
      <c r="A5" s="11" t="s">
        <v>464</v>
      </c>
      <c r="B5" s="11" t="s">
        <v>465</v>
      </c>
      <c r="C5" s="11" t="s">
        <v>466</v>
      </c>
      <c r="D5" s="40" t="n">
        <v>0.02</v>
      </c>
      <c r="E5" s="11" t="s">
        <v>467</v>
      </c>
      <c r="F5" s="11" t="s">
        <v>468</v>
      </c>
    </row>
    <row r="6" customFormat="false" ht="23.85" hidden="false" customHeight="false" outlineLevel="0" collapsed="false">
      <c r="A6" s="11" t="s">
        <v>469</v>
      </c>
      <c r="B6" s="11" t="s">
        <v>470</v>
      </c>
      <c r="C6" s="11" t="s">
        <v>471</v>
      </c>
      <c r="D6" s="40" t="n">
        <v>0.05</v>
      </c>
      <c r="E6" s="11" t="s">
        <v>472</v>
      </c>
      <c r="F6" s="11" t="s">
        <v>473</v>
      </c>
    </row>
    <row r="7" customFormat="false" ht="35.05" hidden="false" customHeight="false" outlineLevel="0" collapsed="false">
      <c r="A7" s="11" t="s">
        <v>474</v>
      </c>
      <c r="B7" s="11" t="s">
        <v>475</v>
      </c>
      <c r="C7" s="11" t="s">
        <v>476</v>
      </c>
      <c r="D7" s="40" t="n">
        <v>0.1</v>
      </c>
      <c r="E7" s="11" t="s">
        <v>477</v>
      </c>
      <c r="F7" s="11" t="s">
        <v>478</v>
      </c>
    </row>
    <row r="8" customFormat="false" ht="46.25" hidden="false" customHeight="false" outlineLevel="0" collapsed="false">
      <c r="A8" s="11" t="s">
        <v>479</v>
      </c>
      <c r="B8" s="11" t="s">
        <v>480</v>
      </c>
      <c r="C8" s="11" t="s">
        <v>481</v>
      </c>
      <c r="D8" s="41" t="n">
        <v>0.5</v>
      </c>
      <c r="E8" s="11" t="s">
        <v>482</v>
      </c>
      <c r="F8" s="11" t="s">
        <v>483</v>
      </c>
    </row>
    <row r="9" customFormat="false" ht="35.05" hidden="false" customHeight="false" outlineLevel="0" collapsed="false">
      <c r="A9" s="11" t="s">
        <v>484</v>
      </c>
      <c r="B9" s="11" t="s">
        <v>485</v>
      </c>
      <c r="C9" s="11" t="s">
        <v>486</v>
      </c>
      <c r="D9" s="42" t="s">
        <v>487</v>
      </c>
      <c r="E9" s="11" t="s">
        <v>488</v>
      </c>
      <c r="F9" s="11" t="s">
        <v>489</v>
      </c>
    </row>
    <row r="10" customFormat="false" ht="57.45" hidden="false" customHeight="false" outlineLevel="0" collapsed="false">
      <c r="A10" s="11" t="s">
        <v>490</v>
      </c>
      <c r="B10" s="11" t="s">
        <v>491</v>
      </c>
      <c r="C10" s="11" t="s">
        <v>492</v>
      </c>
      <c r="D10" s="42" t="s">
        <v>493</v>
      </c>
      <c r="E10" s="11" t="s">
        <v>494</v>
      </c>
      <c r="F10" s="11" t="s">
        <v>495</v>
      </c>
    </row>
    <row r="11" customFormat="false" ht="35.05" hidden="false" customHeight="false" outlineLevel="0" collapsed="false">
      <c r="A11" s="11" t="s">
        <v>496</v>
      </c>
      <c r="B11" s="11" t="s">
        <v>497</v>
      </c>
      <c r="C11" s="11" t="s">
        <v>498</v>
      </c>
      <c r="D11" s="42" t="s">
        <v>499</v>
      </c>
      <c r="E11" s="11" t="s">
        <v>500</v>
      </c>
      <c r="F11" s="11" t="s">
        <v>501</v>
      </c>
    </row>
    <row r="12" customFormat="false" ht="35.05" hidden="false" customHeight="false" outlineLevel="0" collapsed="false">
      <c r="A12" s="11" t="s">
        <v>502</v>
      </c>
      <c r="B12" s="11" t="s">
        <v>503</v>
      </c>
      <c r="C12" s="11" t="s">
        <v>504</v>
      </c>
      <c r="D12" s="42" t="s">
        <v>505</v>
      </c>
      <c r="E12" s="11" t="s">
        <v>506</v>
      </c>
      <c r="F12" s="11" t="s">
        <v>507</v>
      </c>
    </row>
    <row r="13" customFormat="false" ht="35.05" hidden="false" customHeight="false" outlineLevel="0" collapsed="false">
      <c r="A13" s="11" t="s">
        <v>508</v>
      </c>
      <c r="B13" s="11" t="s">
        <v>509</v>
      </c>
      <c r="C13" s="11" t="s">
        <v>510</v>
      </c>
      <c r="D13" s="42" t="s">
        <v>511</v>
      </c>
      <c r="E13" s="11" t="s">
        <v>512</v>
      </c>
      <c r="F13" s="11" t="s">
        <v>513</v>
      </c>
    </row>
    <row r="14" customFormat="false" ht="23.85" hidden="false" customHeight="false" outlineLevel="0" collapsed="false">
      <c r="A14" s="11" t="s">
        <v>514</v>
      </c>
      <c r="B14" s="11" t="s">
        <v>515</v>
      </c>
      <c r="C14" s="11" t="s">
        <v>516</v>
      </c>
      <c r="D14" s="42" t="s">
        <v>517</v>
      </c>
      <c r="E14" s="11" t="s">
        <v>518</v>
      </c>
      <c r="F14" s="11" t="s">
        <v>519</v>
      </c>
    </row>
  </sheetData>
  <printOptions headings="false" gridLines="false" gridLinesSet="true" horizontalCentered="tru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 min="1" style="0" width="22"/>
    <col collapsed="false" customWidth="true" hidden="false" outlineLevel="0" max="6" min="4" style="0" width="20"/>
    <col collapsed="false" customWidth="true" hidden="false" outlineLevel="0" max="7" min="7" style="0" width="30"/>
    <col collapsed="false" customWidth="true" hidden="false" outlineLevel="0" max="9" min="8" style="0" width="18"/>
  </cols>
  <sheetData>
    <row r="1" customFormat="false" ht="17.35" hidden="false" customHeight="false" outlineLevel="0" collapsed="false">
      <c r="A1" s="1" t="s">
        <v>520</v>
      </c>
    </row>
    <row r="2" customFormat="false" ht="15" hidden="false" customHeight="false" outlineLevel="0" collapsed="false">
      <c r="A2" s="2" t="s">
        <v>521</v>
      </c>
    </row>
    <row r="4" customFormat="false" ht="23.85" hidden="false" customHeight="false" outlineLevel="0" collapsed="false">
      <c r="A4" s="10" t="s">
        <v>30</v>
      </c>
      <c r="B4" s="10" t="s">
        <v>522</v>
      </c>
      <c r="C4" s="10" t="s">
        <v>523</v>
      </c>
      <c r="D4" s="10" t="s">
        <v>524</v>
      </c>
      <c r="E4" s="10" t="s">
        <v>525</v>
      </c>
      <c r="F4" s="10" t="s">
        <v>526</v>
      </c>
      <c r="G4" s="10" t="s">
        <v>527</v>
      </c>
      <c r="H4" s="10" t="s">
        <v>528</v>
      </c>
      <c r="I4" s="10" t="s">
        <v>10</v>
      </c>
    </row>
    <row r="5" customFormat="false" ht="23.85" hidden="false" customHeight="false" outlineLevel="0" collapsed="false">
      <c r="A5" s="11" t="s">
        <v>39</v>
      </c>
      <c r="B5" s="11" t="s">
        <v>529</v>
      </c>
      <c r="C5" s="12" t="s">
        <v>530</v>
      </c>
      <c r="D5" s="12" t="s">
        <v>531</v>
      </c>
      <c r="E5" s="12" t="s">
        <v>532</v>
      </c>
      <c r="F5" s="12" t="s">
        <v>533</v>
      </c>
      <c r="G5" s="12" t="s">
        <v>534</v>
      </c>
      <c r="H5" s="12" t="s">
        <v>535</v>
      </c>
      <c r="I5" s="12" t="s">
        <v>536</v>
      </c>
    </row>
    <row r="6" customFormat="false" ht="35.05" hidden="false" customHeight="false" outlineLevel="0" collapsed="false">
      <c r="A6" s="11" t="s">
        <v>72</v>
      </c>
      <c r="B6" s="11" t="s">
        <v>537</v>
      </c>
      <c r="C6" s="12" t="s">
        <v>538</v>
      </c>
      <c r="D6" s="12" t="s">
        <v>539</v>
      </c>
      <c r="E6" s="12" t="s">
        <v>540</v>
      </c>
      <c r="F6" s="12" t="s">
        <v>541</v>
      </c>
      <c r="G6" s="12" t="s">
        <v>542</v>
      </c>
      <c r="H6" s="12" t="s">
        <v>543</v>
      </c>
      <c r="I6" s="12" t="s">
        <v>544</v>
      </c>
    </row>
    <row r="7" customFormat="false" ht="23.85" hidden="false" customHeight="false" outlineLevel="0" collapsed="false">
      <c r="A7" s="11" t="s">
        <v>78</v>
      </c>
      <c r="B7" s="11" t="s">
        <v>545</v>
      </c>
      <c r="C7" s="12" t="s">
        <v>546</v>
      </c>
      <c r="D7" s="12" t="s">
        <v>547</v>
      </c>
      <c r="E7" s="12" t="s">
        <v>548</v>
      </c>
      <c r="F7" s="12" t="s">
        <v>549</v>
      </c>
      <c r="G7" s="12" t="s">
        <v>550</v>
      </c>
      <c r="H7" s="12" t="s">
        <v>551</v>
      </c>
      <c r="I7" s="12" t="s">
        <v>552</v>
      </c>
    </row>
    <row r="8" customFormat="false" ht="35.05" hidden="false" customHeight="false" outlineLevel="0" collapsed="false">
      <c r="A8" s="11" t="s">
        <v>213</v>
      </c>
      <c r="B8" s="11" t="s">
        <v>553</v>
      </c>
      <c r="C8" s="12" t="s">
        <v>554</v>
      </c>
      <c r="D8" s="12" t="s">
        <v>555</v>
      </c>
      <c r="E8" s="12" t="s">
        <v>556</v>
      </c>
      <c r="F8" s="12" t="s">
        <v>557</v>
      </c>
      <c r="G8" s="12" t="s">
        <v>558</v>
      </c>
      <c r="H8" s="12" t="s">
        <v>559</v>
      </c>
      <c r="I8" s="12" t="s">
        <v>560</v>
      </c>
    </row>
    <row r="9" customFormat="false" ht="23.85" hidden="false" customHeight="false" outlineLevel="0" collapsed="false">
      <c r="A9" s="43" t="s">
        <v>561</v>
      </c>
      <c r="B9" s="43" t="s">
        <v>562</v>
      </c>
      <c r="C9" s="44"/>
      <c r="D9" s="44"/>
      <c r="E9" s="44"/>
      <c r="F9" s="44"/>
      <c r="G9" s="44"/>
      <c r="H9" s="44"/>
      <c r="I9" s="44" t="s">
        <v>563</v>
      </c>
    </row>
  </sheetData>
  <printOptions headings="false" gridLines="false" gridLinesSet="true" horizontalCentered="tru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80"/>
    <col collapsed="false" customWidth="true" hidden="false" outlineLevel="0" max="3" min="3" style="0" width="22"/>
    <col collapsed="false" customWidth="true" hidden="false" outlineLevel="0" max="4" min="4" style="0" width="50"/>
  </cols>
  <sheetData>
    <row r="1" customFormat="false" ht="17.35" hidden="false" customHeight="false" outlineLevel="0" collapsed="false">
      <c r="A1" s="1" t="s">
        <v>564</v>
      </c>
    </row>
    <row r="2" customFormat="false" ht="15" hidden="false" customHeight="false" outlineLevel="0" collapsed="false">
      <c r="A2" s="2" t="s">
        <v>565</v>
      </c>
    </row>
    <row r="4" customFormat="false" ht="15" hidden="false" customHeight="false" outlineLevel="0" collapsed="false">
      <c r="A4" s="10" t="s">
        <v>566</v>
      </c>
      <c r="B4" s="10" t="s">
        <v>567</v>
      </c>
      <c r="C4" s="10" t="s">
        <v>568</v>
      </c>
      <c r="D4" s="10" t="s">
        <v>569</v>
      </c>
    </row>
    <row r="5" customFormat="false" ht="35.05" hidden="false" customHeight="false" outlineLevel="0" collapsed="false">
      <c r="A5" s="11" t="s">
        <v>39</v>
      </c>
      <c r="B5" s="11" t="s">
        <v>570</v>
      </c>
      <c r="C5" s="11" t="s">
        <v>571</v>
      </c>
      <c r="D5" s="11" t="s">
        <v>572</v>
      </c>
    </row>
    <row r="6" customFormat="false" ht="35.05" hidden="false" customHeight="false" outlineLevel="0" collapsed="false">
      <c r="A6" s="11" t="s">
        <v>91</v>
      </c>
      <c r="B6" s="11" t="s">
        <v>573</v>
      </c>
      <c r="C6" s="11" t="s">
        <v>574</v>
      </c>
      <c r="D6" s="11" t="s">
        <v>575</v>
      </c>
    </row>
    <row r="7" customFormat="false" ht="46.25" hidden="false" customHeight="false" outlineLevel="0" collapsed="false">
      <c r="A7" s="11" t="s">
        <v>78</v>
      </c>
      <c r="B7" s="11" t="s">
        <v>576</v>
      </c>
      <c r="C7" s="11" t="s">
        <v>577</v>
      </c>
      <c r="D7" s="11" t="s">
        <v>578</v>
      </c>
    </row>
    <row r="8" customFormat="false" ht="35.05" hidden="false" customHeight="false" outlineLevel="0" collapsed="false">
      <c r="A8" s="11" t="s">
        <v>72</v>
      </c>
      <c r="B8" s="11" t="s">
        <v>579</v>
      </c>
      <c r="C8" s="11" t="s">
        <v>571</v>
      </c>
      <c r="D8" s="11" t="s">
        <v>580</v>
      </c>
    </row>
    <row r="9" customFormat="false" ht="23.85" hidden="false" customHeight="false" outlineLevel="0" collapsed="false">
      <c r="A9" s="11" t="s">
        <v>213</v>
      </c>
      <c r="B9" s="11" t="s">
        <v>581</v>
      </c>
      <c r="C9" s="11" t="s">
        <v>577</v>
      </c>
      <c r="D9" s="11" t="s">
        <v>582</v>
      </c>
    </row>
    <row r="11" customFormat="false" ht="15" hidden="false" customHeight="false" outlineLevel="0" collapsed="false">
      <c r="A11" s="17" t="s">
        <v>583</v>
      </c>
    </row>
  </sheetData>
  <printOptions headings="false" gridLines="false" gridLinesSet="true" horizontalCentered="tru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2026-10-24T22:01:34Z</dcterms:created>
  <dc:creator>openpyxl</dc:creator>
  <dc:description/>
  <dc:language>en-US</dc:language>
  <cp:lastModifiedBy/>
  <dcterms:modified xsi:type="dcterms:W3CDTF">2026-10-24T22:01:34Z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