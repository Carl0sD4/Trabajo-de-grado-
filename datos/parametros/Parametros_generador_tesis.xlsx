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Parámetros" sheetId="2" state="visible" r:id="rId4"/>
    <sheet name="Duraciones" sheetId="3" state="visible" r:id="rId5"/>
    <sheet name="Demanda" sheetId="4" state="visible" r:id="rId6"/>
    <sheet name="Catálogo" sheetId="5" state="visible" r:id="rId7"/>
    <sheet name="Calibración del catálogo" sheetId="6" state="visible" r:id="rId8"/>
    <sheet name="Tipos de muestra" sheetId="7" state="visible" r:id="rId9"/>
    <sheet name="Calibración de tipos" sheetId="8" state="visible" r:id="rId10"/>
    <sheet name="Equipos" sheetId="9" state="visible" r:id="rId11"/>
    <sheet name="Analistas" sheetId="10" state="visible" r:id="rId12"/>
    <sheet name="Calibración de recursos" sheetId="11" state="visible" r:id="rId13"/>
    <sheet name="Turnos" sheetId="12" state="visible" r:id="rId14"/>
    <sheet name="Rotación" sheetId="13" state="visible" r:id="rId15"/>
    <sheet name="Mantenimiento" sheetId="14" state="visible" r:id="rId16"/>
    <sheet name="Calibración de turnos" sheetId="15" state="visible" r:id="rId17"/>
    <sheet name="Diccionario" sheetId="16" state="visible" r:id="rId18"/>
    <sheet name="Indicadores" sheetId="17" state="visible" r:id="rId19"/>
    <sheet name="Correlaciones" sheetId="21" state="visible" r:id="rId24"/>
    <sheet name="Supuestos" sheetId="18" state="visible" r:id="rId20"/>
    <sheet name="Contraste estructural" sheetId="19" state="visible" r:id="rId21"/>
    <sheet name="Fuentes" sheetId="20" state="visible" r:id="rId22"/>
  </sheets>
  <definedNames>
    <definedName function="false" hidden="true" localSheetId="9" name="_xlnm._FilterDatabase" vbProcedure="false">Analistas!$A$4:$S$24</definedName>
    <definedName function="false" hidden="false" localSheetId="4" name="_xlnm.Print_Titles" vbProcedure="false">Catálogo!$4:$4</definedName>
    <definedName function="false" hidden="true" localSheetId="4" name="_xlnm._FilterDatabase" vbProcedure="false">Catálogo!$A$4:$AA$16</definedName>
    <definedName function="false" hidden="true" localSheetId="15" name="_xlnm._FilterDatabase" vbProcedure="false">Diccionario!$A$4:$L$55</definedName>
    <definedName function="false" hidden="true" localSheetId="8" name="_xlnm._FilterDatabase" vbProcedure="false">Equipos!$A$4:$W$14</definedName>
    <definedName function="false" hidden="true" localSheetId="16" name="_xlnm._FilterDatabase" vbProcedure="false">Indicadores!$A$4:$H$26</definedName>
    <definedName function="false" hidden="false" localSheetId="1" name="_xlnm.Print_Titles" vbProcedure="false">Parámetros!$4:$4</definedName>
    <definedName function="false" hidden="true" localSheetId="1" name="_xlnm._FilterDatabase" vbProcedure="false">Parámetros!$A$4:$J$83</definedName>
    <definedName function="false" hidden="true" localSheetId="6" name="_xlnm._FilterDatabase" vbProcedure="false">'Tipos de muestra'!$A$4:$AB$9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<sst xmlns="http://schemas.openxmlformats.org/spreadsheetml/2006/main" count="3184" uniqueCount="1911">
  <si>
    <t xml:space="preserve">Hoja de parámetros del generador de datos sintéticos (Objetivo 1)</t>
  </si>
  <si>
    <t xml:space="preserve">Modelo predictivo con datos sintéticos para la estimación de tiempos y la asignación de recursos en laboratorios de control de calidad farmacéuticos</t>
  </si>
  <si>
    <t xml:space="preserve">Para qué sirve</t>
  </si>
  <si>
    <t xml:space="preserve">Reúne los parámetros operativos que reportan las cinco fuentes de calibración del anteproyecto, cada uno con su página, para construir el generador (bloques del 25 al 31 de octubre) y para la tabla de trazabilidad que arma Aldair el jueves 29.</t>
  </si>
  <si>
    <t xml:space="preserve">Hojas</t>
  </si>
  <si>
    <t xml:space="preserve">Parámetros (lista completa) · Duraciones (tres puntos por técnica y tarea, con media y desviación PERT) · Demanda (mezcla, volumen y escenarios de carga) · Catálogo (12 métodos: complejidad, soluciones, calificación mínima, participación, corrida, reanálisis y tipos de muestra) · Calibración del catálogo (cómo salen esas columnas de las fuentes) · Tipos de muestra (5 tipos: proporción, llegadas, plazo, prioridad, urgentes y probabilidad de cada método) · Calibración de tipos (cómo se reparte cada método entre los tipos sin cambiar la mezcla de técnicas) · Equipos (10 configuraciones: cantidad y compatibilidad con cada método) · Analistas (20 analistas: turno, nivel, área y matriz de calificación) · Calibración de recursos (horas de equipo, cobertura y chequeos) · Turnos (horario de cada código de turno) · Rotación (calendario de 6 semanas por analista) · Mantenimiento (ventanas planificadas y fallas por configuración) · Calibración de turnos (rotación, horas, analistas por franja y fallas) · Diccionario (51 campos del registro: tipo, unidad, valores, cuándo se conoce, papel en el O2, regla que los verifica e indicadores que alimentan) · Indicadores (los 22 indicadores del sistema de variables: cálculo, campos y criterio) · Supuestos (lo que no está en las fuentes y deben decidir) · Contraste estructural (para el bloque del 1 de noviembre) · Fuentes (APA 7).</t>
  </si>
  <si>
    <t xml:space="preserve">Catálogo</t>
  </si>
  <si>
    <t xml:space="preserve">Las decisiones son las celdas amarillas: la complejidad de cada método y las marcas de tipo de muestra (hoja Catálogo), y la regla de complejidad, los multiplicadores de reanálisis y las relaciones de corrida (hoja Calibración del catálogo). Si cambian una complejidad, la participación de los métodos se recalcula para conservar los promedios de Costigliola et al. (2017); revisen la columna «Chequeo» de la calibración. El generador lee la hoja Catálogo con cargar_hoja("Catálogo").</t>
  </si>
  <si>
    <t xml:space="preserve">Tipos de muestra</t>
  </si>
  <si>
    <t xml:space="preserve">Las decisiones son las celdas amarillas de la hoja Tipos de muestra: la proporción de cada tipo, sus llegadas, su plazo y si puede llegar como urgente. La probabilidad de cada método dentro de cada tipo se recalcula sola (ajuste proporcional iterativo) para conservar la mezcla de técnicas de Costigliola et al. (2017); revisen los chequeos del bloque E de la hoja Calibración de tipos.</t>
  </si>
  <si>
    <t xml:space="preserve">Equipos y analistas</t>
  </si>
  <si>
    <t xml:space="preserve">Las decisiones son las celdas amarillas: cantidad de equipos y compatibilidad (hoja Equipos), nivel y área de cada analista (hoja Analistas), y configuración principal de cada método, factores de experiencia y áreas (hoja Calibración de recursos). La matriz de calificación se calcula sola: un analista está calificado para un método si su nivel alcanza la calificación mínima del método y si la técnica está en su área. Revisen los chequeos de la hoja Calibración de recursos.</t>
  </si>
  <si>
    <t xml:space="preserve">Turnos y mantenimiento</t>
  </si>
  <si>
    <t xml:space="preserve">Las decisiones son las celdas amarillas: horario de cada código (hoja Turnos), desfase de rotación y grupo de almuerzo de cada analista (hoja Calibración de turnos), y frecuencia y duración de las ventanas de mantenimiento y verificación (hoja Mantenimiento). La hoja Rotación se calcula sola y se repite cada 42 días (6 semanas).</t>
  </si>
  <si>
    <t xml:space="preserve">Registro del dataset</t>
  </si>
  <si>
    <t xml:space="preserve">La unidad de análisis —un registro por ejecución de un ensayo sobre una muestra— y los 51 campos del registro están en docs/Diccionario_de_datos.docx, en la hoja Diccionario y en src/generador/registro.py, que verifica cada regla; la hoja Indicadores amarra los campos con el sistema de variables. Sus supuestos son S27 y S28 (hoja Supuestos) y sus datos, el bloque «Estructura del registro» de la hoja Parámetros.</t>
  </si>
  <si>
    <t xml:space="preserve">Columna «Tipo»</t>
  </si>
  <si>
    <t xml:space="preserve">Dato de la literatura = valor tal como aparece en la fuente. Derivado = cálculo propio a partir de datos de la fuente (la fórmula está en la celda). Supuesto = no aparece en las fuentes revisadas: hay que justificarlo o tratarlo con escenarios.</t>
  </si>
  <si>
    <t xml:space="preserve">Colores</t>
  </si>
  <si>
    <t xml:space="preserve">Texto azul = valor tomado de la fuente (no editar salvo que encuentren un error). Texto negro = fórmula. Fondo amarillo = supuesto que deben decidir ustedes (son las únicas celdas pensadas para editar).</t>
  </si>
  <si>
    <t xml:space="preserve">Páginas</t>
  </si>
  <si>
    <t xml:space="preserve">Se cita el número de página de la revista (el que va en APA), no el del PDF. Ejemplo: Costigliola et al. (2017) va de la p. 9014 a la 9019.</t>
  </si>
  <si>
    <t xml:space="preserve">Ojo 1</t>
  </si>
  <si>
    <t xml:space="preserve">Costigliola et al. (2017) usa distribuciones triangulares T(mín, moda, máx). El anteproyecto usa BetaPERT con esos mismos tres puntos: declárenlo en la metodología como una adaptación propia.</t>
  </si>
  <si>
    <t xml:space="preserve">Ojo 2</t>
  </si>
  <si>
    <t xml:space="preserve">Las cinco fuentes no traen valores para la tasa de reanálisis por OOS, la indisponibilidad de equipos, el porcentaje de urgentes ni los coeficientes de correlación. Están en la hoja Supuestos con una propuesta de escenarios; necesitan fuente o se declaran como supuestos.</t>
  </si>
  <si>
    <t xml:space="preserve">Ojo 3</t>
  </si>
  <si>
    <t xml:space="preserve">Costigliola, Cunha y Martins trabajan con datos del laboratorio de Hovione, y Coito pertenece al mismo grupo de investigación (IDMEC, Universidad de Lisboa). Eso da coherencia entre fuentes, pero conviene mencionarlo como limitación de representatividad (Alcance I).</t>
  </si>
  <si>
    <t xml:space="preserve">Ojo 4</t>
  </si>
  <si>
    <t xml:space="preserve">Con BetaPERT estándar (λ = 4) las medias quedan por debajo de las de la triangular de la fuente, porque estas distribuciones son asimétricas: en la preparación del análisis, entre 7 % y 22 % según la técnica (hoja Calibración del catálogo, bloque B). Se decide en el bloque de duraciones: usar λ = 1, que conserva la media de la triangular, o declarar la diferencia.</t>
  </si>
  <si>
    <t xml:space="preserve">Ejemplo de colores</t>
  </si>
  <si>
    <t xml:space="preserve">← dato de la fuente (texto azul)</t>
  </si>
  <si>
    <t xml:space="preserve">← fórmula (texto negro)</t>
  </si>
  <si>
    <t xml:space="preserve">← supuesto que deben decidir (fondo amarillo)</t>
  </si>
  <si>
    <t xml:space="preserve">Parámetros con fuente y página</t>
  </si>
  <si>
    <t xml:space="preserve">Una fila por parámetro. Filtren por Bloque, Tipo o Dimensión con los filtros del encabezado.</t>
  </si>
  <si>
    <t xml:space="preserve">ID</t>
  </si>
  <si>
    <t xml:space="preserve">Bloque</t>
  </si>
  <si>
    <t xml:space="preserve">Parámetro</t>
  </si>
  <si>
    <t xml:space="preserve">Valor</t>
  </si>
  <si>
    <t xml:space="preserve">Unidad</t>
  </si>
  <si>
    <t xml:space="preserve">Tipo</t>
  </si>
  <si>
    <t xml:space="preserve">Fuente</t>
  </si>
  <si>
    <t xml:space="preserve">Página / ubicación</t>
  </si>
  <si>
    <t xml:space="preserve">Uso sugerido en el generador</t>
  </si>
  <si>
    <t xml:space="preserve">Dimensión del sistema de variables</t>
  </si>
  <si>
    <t xml:space="preserve">P01</t>
  </si>
  <si>
    <t xml:space="preserve">Laboratorio y recursos</t>
  </si>
  <si>
    <t xml:space="preserve">Equipos del laboratorio de referencia</t>
  </si>
  <si>
    <t xml:space="preserve">equipos</t>
  </si>
  <si>
    <t xml:space="preserve">Dato de la literatura</t>
  </si>
  <si>
    <t xml:space="preserve">Costigliola et al. (2017)</t>
  </si>
  <si>
    <t xml:space="preserve">p. 9015, §2</t>
  </si>
  <si>
    <t xml:space="preserve">Tamaño de la planta de equipos del escenario base.</t>
  </si>
  <si>
    <t xml:space="preserve">Recursos materiales</t>
  </si>
  <si>
    <t xml:space="preserve">P02</t>
  </si>
  <si>
    <t xml:space="preserve">Tipos de equipo / técnica analítica</t>
  </si>
  <si>
    <t xml:space="preserve">6: HPLC, GC, PSA (tamaño de partícula), titulación Karl Fischer (KF), DSC y XRPD</t>
  </si>
  <si>
    <t xml:space="preserve">tipos</t>
  </si>
  <si>
    <t xml:space="preserve">Catálogo de técnicas del laboratorio de referencia.</t>
  </si>
  <si>
    <t xml:space="preserve">P03</t>
  </si>
  <si>
    <t xml:space="preserve">Analistas</t>
  </si>
  <si>
    <t xml:space="preserve">analistas</t>
  </si>
  <si>
    <t xml:space="preserve">p. 9015, §2 y §2.1</t>
  </si>
  <si>
    <t xml:space="preserve">Tamaño de la plantilla del escenario base.</t>
  </si>
  <si>
    <t xml:space="preserve">Recursos humanos</t>
  </si>
  <si>
    <t xml:space="preserve">P04</t>
  </si>
  <si>
    <t xml:space="preserve">Horario de operación</t>
  </si>
  <si>
    <t xml:space="preserve">24 h, 7 días para control en proceso; estabilidad, desarrollo y validación de lunes a viernes</t>
  </si>
  <si>
    <t xml:space="preserve">—</t>
  </si>
  <si>
    <t xml:space="preserve">p. 9015, §2.1</t>
  </si>
  <si>
    <t xml:space="preserve">Calendario de disponibilidad del laboratorio.</t>
  </si>
  <si>
    <t xml:space="preserve">P05</t>
  </si>
  <si>
    <t xml:space="preserve">Turnos (Tabla 1)</t>
  </si>
  <si>
    <t xml:space="preserve">Turno 1: 7 días, 8:00–20:00 y 20:00–8:00, 2 analistas por turno · Turno 2: 5 días, 8:00–17:00 y 17:00–24:00, 2 por turno · Turno 3: 5 días, 8:00–17:00, 10 analistas</t>
  </si>
  <si>
    <t xml:space="preserve">p. 9015, Tabla 1</t>
  </si>
  <si>
    <t xml:space="preserve">Calendarios de disponibilidad de cada analista.</t>
  </si>
  <si>
    <t xml:space="preserve">P06</t>
  </si>
  <si>
    <t xml:space="preserve">Distribución de la plantilla por turno</t>
  </si>
  <si>
    <t xml:space="preserve">6 analistas en turnos rotativos de 12 h, 4 en dos turnos de 8 h y 10 en turno fijo de 8 h, 5 días a la semana</t>
  </si>
  <si>
    <t xml:space="preserve">Asignar turno a cada analista generado.</t>
  </si>
  <si>
    <t xml:space="preserve">P07</t>
  </si>
  <si>
    <t xml:space="preserve">Recursos en instancia diaria realista</t>
  </si>
  <si>
    <t xml:space="preserve">15 máquinas y 5 analistas</t>
  </si>
  <si>
    <t xml:space="preserve">Cunha et al. (2019)</t>
  </si>
  <si>
    <t xml:space="preserve">p. 1425, §4.2</t>
  </si>
  <si>
    <t xml:space="preserve">Escenario reducido (diario) para pruebas rápidas del simulador.</t>
  </si>
  <si>
    <t xml:space="preserve">P08</t>
  </si>
  <si>
    <t xml:space="preserve">Recursos en experimentos de Martins</t>
  </si>
  <si>
    <t xml:space="preserve">7 máquinas (tipos de equipo); 2, 3 o 7 analistas (restringido por analistas, balanceado, restringido por máquinas)</t>
  </si>
  <si>
    <t xml:space="preserve">Martins et al. (2023)</t>
  </si>
  <si>
    <t xml:space="preserve">p. 191, §6.1</t>
  </si>
  <si>
    <t xml:space="preserve">Inspiración para escenarios con distinta relación analistas/equipos.</t>
  </si>
  <si>
    <t xml:space="preserve">P09</t>
  </si>
  <si>
    <t xml:space="preserve">Estructura de ensayos</t>
  </si>
  <si>
    <t xml:space="preserve">Tareas de un análisis (modelo de Costigliola)</t>
  </si>
  <si>
    <t xml:space="preserve">Preparación del sistema (soluciones, materiales y montaje del equipo), preparación de la muestra, idoneidad del sistema, análisis y procesamiento de datos</t>
  </si>
  <si>
    <t xml:space="preserve">pp. 9015–9016, Fig. 1</t>
  </si>
  <si>
    <t xml:space="preserve">Secuencia de tareas de cada actividad analítica.</t>
  </si>
  <si>
    <t xml:space="preserve">Tiempos de ejecución</t>
  </si>
  <si>
    <t xml:space="preserve">P10</t>
  </si>
  <si>
    <t xml:space="preserve">Tareas de un ensayo (modelo de Coito)</t>
  </si>
  <si>
    <t xml:space="preserve">Seis tareas en orden: preparación del sistema, idoneidad del sistema, preparación de la muestra, corrida analítica, procesamiento de datos y revisión</t>
  </si>
  <si>
    <t xml:space="preserve">Coito et al. (2021)</t>
  </si>
  <si>
    <t xml:space="preserve">p. 72, §4</t>
  </si>
  <si>
    <t xml:space="preserve">Igual al anterior, más la revisión final.</t>
  </si>
  <si>
    <t xml:space="preserve">P11</t>
  </si>
  <si>
    <t xml:space="preserve">Recurso que exige cada tarea</t>
  </si>
  <si>
    <t xml:space="preserve">Analista, equipo o ambos; el recurso puede requerirse toda la tarea o solo un porcentaje de ella</t>
  </si>
  <si>
    <t xml:space="preserve">Marcar en cada tarea si ocupa analista, equipo o ambos.</t>
  </si>
  <si>
    <t xml:space="preserve">Disponibilidad cruzada de recursos</t>
  </si>
  <si>
    <t xml:space="preserve">P12</t>
  </si>
  <si>
    <t xml:space="preserve">Analista como recurso secundario</t>
  </si>
  <si>
    <t xml:space="preserve">El analista solo se requiere en tareas específicas; el equipo, durante todo el análisis</t>
  </si>
  <si>
    <t xml:space="preserve">p. 9017, §3.3</t>
  </si>
  <si>
    <t xml:space="preserve">Doble restricción: el equipo se ocupa entero y el analista por tramos.</t>
  </si>
  <si>
    <t xml:space="preserve">P13</t>
  </si>
  <si>
    <t xml:space="preserve">Unidad de análisis</t>
  </si>
  <si>
    <t xml:space="preserve">La pareja muestra/análisis es una entidad y se procesa en un solo equipo</t>
  </si>
  <si>
    <t xml:space="preserve">p. 9017, §3.3 (supuesto 1)</t>
  </si>
  <si>
    <t xml:space="preserve">Coincide con la unidad de análisis del anteproyecto (§1.4).</t>
  </si>
  <si>
    <t xml:space="preserve">Variabilidad y consistencia estructural</t>
  </si>
  <si>
    <t xml:space="preserve">P14</t>
  </si>
  <si>
    <t xml:space="preserve">Ensayos por muestra</t>
  </si>
  <si>
    <t xml:space="preserve">85 % de las muestras con 1 ensayo, ~10 % con 2 y ~5 % con 3</t>
  </si>
  <si>
    <t xml:space="preserve">% de muestras</t>
  </si>
  <si>
    <t xml:space="preserve">Número de actividades por muestra (ver hoja Demanda).</t>
  </si>
  <si>
    <t xml:space="preserve">P15</t>
  </si>
  <si>
    <t xml:space="preserve">Tipos de trabajo (Tabla 1)</t>
  </si>
  <si>
    <t xml:space="preserve">A: 3 operaciones con precedencia (tiempos 3, 2, 1) · B: 2 operaciones (5, 4) · C: 1 operación (1)</t>
  </si>
  <si>
    <t xml:space="preserve">unidades de tiempo</t>
  </si>
  <si>
    <t xml:space="preserve">p. 1424, Tabla 1</t>
  </si>
  <si>
    <t xml:space="preserve">Plantillas de muestra con precedencias entre ensayos.</t>
  </si>
  <si>
    <t xml:space="preserve">P16</t>
  </si>
  <si>
    <t xml:space="preserve">Operaciones por trabajo en Martins</t>
  </si>
  <si>
    <t xml:space="preserve">Distribución uniforme discreta DU(1, 3); 3 tipos de trabajo</t>
  </si>
  <si>
    <t xml:space="preserve">operaciones</t>
  </si>
  <si>
    <t xml:space="preserve">p. 191; Tabla 3, p. 192</t>
  </si>
  <si>
    <t xml:space="preserve">Alternativa para generar el número de ensayos por muestra.</t>
  </si>
  <si>
    <t xml:space="preserve">P17</t>
  </si>
  <si>
    <t xml:space="preserve">Validez de la idoneidad del sistema</t>
  </si>
  <si>
    <t xml:space="preserve">24 h: no se repite dentro de 24 h salvo que llegue un método distinto al mismo equipo</t>
  </si>
  <si>
    <t xml:space="preserve">h</t>
  </si>
  <si>
    <t xml:space="preserve">p. 9017, §3.3 (supuesto 2)</t>
  </si>
  <si>
    <t xml:space="preserve">Regla de montaje: ahorra la idoneidad si el equipo ya está apto para ese método.</t>
  </si>
  <si>
    <t xml:space="preserve">P18</t>
  </si>
  <si>
    <t xml:space="preserve">Duraciones</t>
  </si>
  <si>
    <t xml:space="preserve">Distribuciones de tiempos por técnica y tarea (Tabla 3)</t>
  </si>
  <si>
    <t xml:space="preserve">Tres puntos (mín, moda, máx) por técnica y tarea; ver hoja Duraciones</t>
  </si>
  <si>
    <t xml:space="preserve">min</t>
  </si>
  <si>
    <t xml:space="preserve">p. 9016, Tabla 3</t>
  </si>
  <si>
    <t xml:space="preserve">Parámetros a, m, b de BetaPERT para cada técnica y tarea.</t>
  </si>
  <si>
    <t xml:space="preserve">P19</t>
  </si>
  <si>
    <t xml:space="preserve">Origen de los tiempos</t>
  </si>
  <si>
    <t xml:space="preserve">Corrida y número de preparaciones: deterministas, de los informes de métodos · Tareas del analista: distribuciones ajustadas a un estudio de tiempos de un mes</t>
  </si>
  <si>
    <t xml:space="preserve">p. 9016, §3.1–3.2</t>
  </si>
  <si>
    <t xml:space="preserve">Justifica qué tiempos son estocásticos y cuáles fijos.</t>
  </si>
  <si>
    <t xml:space="preserve">P20</t>
  </si>
  <si>
    <t xml:space="preserve">Preparación proporcional al número de soluciones</t>
  </si>
  <si>
    <t xml:space="preserve">Tiempo de preparación del sistema o del análisis = tiempo de preparación de muestra (Tabla 3) × número de muestras/soluciones</t>
  </si>
  <si>
    <t xml:space="preserve">p. 9019, §4.1</t>
  </si>
  <si>
    <t xml:space="preserve">Dependencia estructural duración–n.º de soluciones (base para la correlación).</t>
  </si>
  <si>
    <t xml:space="preserve">P21</t>
  </si>
  <si>
    <t xml:space="preserve">Tiempos promedio simulados por tarea (Tabla 6)</t>
  </si>
  <si>
    <t xml:space="preserve">Promedios ± desviación por técnica; ver hoja Duraciones</t>
  </si>
  <si>
    <t xml:space="preserve">p. 9019, Tabla 6</t>
  </si>
  <si>
    <t xml:space="preserve">Referencia para validar que el generador reproduce promedios plausibles.</t>
  </si>
  <si>
    <t xml:space="preserve">P22</t>
  </si>
  <si>
    <t xml:space="preserve">Tiempos promedio por tarea: expertos vs. medidos (Tabla 2)</t>
  </si>
  <si>
    <t xml:space="preserve">Ver hoja Duraciones (total 662 min estimado por expertos vs. 529 min medido)</t>
  </si>
  <si>
    <t xml:space="preserve">p. 74, Tabla 2</t>
  </si>
  <si>
    <t xml:space="preserve">Calibrar duración total por ensayo y el sesgo de la estimación experta.</t>
  </si>
  <si>
    <t xml:space="preserve">P23</t>
  </si>
  <si>
    <t xml:space="preserve">Sesgo de la estimación experta</t>
  </si>
  <si>
    <t xml:space="preserve">Los expertos sobreestiman: 33 % (preparación del sistema), 36 % (idoneidad), 18 % (preparación de muestra), 2 % (corrida); 20 % en el total</t>
  </si>
  <si>
    <t xml:space="preserve">%</t>
  </si>
  <si>
    <t xml:space="preserve">p. 74, §4</t>
  </si>
  <si>
    <t xml:space="preserve">Duración «estimada por el supervisor» que usa la regla experta (O3).</t>
  </si>
  <si>
    <t xml:space="preserve">Evaluación O3 (políticas e indicadores)</t>
  </si>
  <si>
    <t xml:space="preserve">P24</t>
  </si>
  <si>
    <t xml:space="preserve">Rango de duración total por ensayo</t>
  </si>
  <si>
    <t xml:space="preserve">El 90 % de los ensayos está entre 458 y 786 min de tiempo total promedio</t>
  </si>
  <si>
    <t xml:space="preserve">Chequeo de rango: % de ensayos simulados dentro de 458–786 min.</t>
  </si>
  <si>
    <t xml:space="preserve">P25</t>
  </si>
  <si>
    <t xml:space="preserve">Fuentes de variabilidad de la duración</t>
  </si>
  <si>
    <t xml:space="preserve">Primero la técnica analítica, luego el método y la especificación del cliente (grado químico)</t>
  </si>
  <si>
    <t xml:space="preserve">Variables explicativas para el O2 (técnica, método, grado).</t>
  </si>
  <si>
    <t xml:space="preserve">P26</t>
  </si>
  <si>
    <t xml:space="preserve">Fallas y repeticiones de tareas</t>
  </si>
  <si>
    <t xml:space="preserve">Algunas subtareas fallan y deben repetirse; la tasa es difícil de predecir (sin valor numérico)</t>
  </si>
  <si>
    <t xml:space="preserve">Respalda la perturbación de reanálisis; la tasa queda como supuesto (hoja Supuestos).</t>
  </si>
  <si>
    <t xml:space="preserve">Perturbaciones (Alcance II)</t>
  </si>
  <si>
    <t xml:space="preserve">P27</t>
  </si>
  <si>
    <t xml:space="preserve">Ocupación parcial del analista (Martins)</t>
  </si>
  <si>
    <t xml:space="preserve">Tareas del analista al 0 %, 30 % y 90 % del procesamiento, con duración de 5 %, 10 % y 10 % del tiempo (montaje, intermedia, desmontaje/datos)</t>
  </si>
  <si>
    <t xml:space="preserve">% del tiempo de la operación</t>
  </si>
  <si>
    <t xml:space="preserve">Tramos de la operación en que el analista está ocupado.</t>
  </si>
  <si>
    <t xml:space="preserve">P28</t>
  </si>
  <si>
    <t xml:space="preserve">Intervenciones del analista (Cunha, Tabla 2)</t>
  </si>
  <si>
    <t xml:space="preserve">Montaje 0–0,25; intermedia (A1: 1–2; B1: 2–3; B2: 1–2); desmontaje (A1: 2,75–3; A2 y A3: 0,75–1; B1: 4–5; B2: 3–4; C1: 0,75–1)</t>
  </si>
  <si>
    <t xml:space="preserve">p. 1424, Tabla 2</t>
  </si>
  <si>
    <t xml:space="preserve">Alternativa a Martins para los tramos del analista.</t>
  </si>
  <si>
    <t xml:space="preserve">P29</t>
  </si>
  <si>
    <t xml:space="preserve">Analista multitarea</t>
  </si>
  <si>
    <t xml:space="preserve">Un analista puede llevar varias tareas a la vez; se requiere solo un porcentaje del tiempo total de la tarea (razón r_t, ec. 1)</t>
  </si>
  <si>
    <t xml:space="preserve">Permitir que un analista atienda varias corridas en paralelo.</t>
  </si>
  <si>
    <t xml:space="preserve">P30</t>
  </si>
  <si>
    <t xml:space="preserve">Elegibilidad y competencias</t>
  </si>
  <si>
    <t xml:space="preserve">Competencias únicas</t>
  </si>
  <si>
    <t xml:space="preserve">Analistas y equipos pueden tener competencias únicas, lo que dificulta la asignación</t>
  </si>
  <si>
    <t xml:space="preserve">p. 65, §2.1.2</t>
  </si>
  <si>
    <t xml:space="preserve">Matriz de calificación con analistas y equipos no intercambiables.</t>
  </si>
  <si>
    <t xml:space="preserve">P31</t>
  </si>
  <si>
    <t xml:space="preserve">Flexibilidad de recursos (Martins)</t>
  </si>
  <si>
    <t xml:space="preserve">Probabilidad de que cada analista y cada máquina sea elegible para una operación: f = 0,3 y f = 0,6</t>
  </si>
  <si>
    <t xml:space="preserve">probabilidad</t>
  </si>
  <si>
    <t xml:space="preserve">Generar la matriz analista–actividad y equipo–actividad (dos niveles de flexibilidad).</t>
  </si>
  <si>
    <t xml:space="preserve">P32</t>
  </si>
  <si>
    <t xml:space="preserve">Elegibilidad por tipo de trabajo (Cunha, Tabla 6)</t>
  </si>
  <si>
    <t xml:space="preserve">A: analista a1, máquina m15 · B: a2, m12–m15 · C: a3–a5, m1–m12</t>
  </si>
  <si>
    <t xml:space="preserve">p. 1425, Tabla 6</t>
  </si>
  <si>
    <t xml:space="preserve">Ejemplo de elegibilidad asimétrica (más recursos para el trabajo más frecuente).</t>
  </si>
  <si>
    <t xml:space="preserve">P33</t>
  </si>
  <si>
    <t xml:space="preserve">Elegibilidad promedio en el TLSP</t>
  </si>
  <si>
    <t xml:space="preserve">En promedio, 5 mesas de trabajo y 6 empleados calificados por trabajo; los modos requieren de 0 a 2 empleados</t>
  </si>
  <si>
    <t xml:space="preserve">Mischek y Musliu (2021)</t>
  </si>
  <si>
    <t xml:space="preserve">p. 550, §4.2</t>
  </si>
  <si>
    <t xml:space="preserve">Referencia de densidad de elegibilidad para el contraste estructural.</t>
  </si>
  <si>
    <t xml:space="preserve">P34</t>
  </si>
  <si>
    <t xml:space="preserve">Simplificación de Costigliola</t>
  </si>
  <si>
    <t xml:space="preserve">En su modelo los analistas pueden hacer cualquier trabajo sin importar el turno; en la realidad cada turno atiende pocos tipos de operación</t>
  </si>
  <si>
    <t xml:space="preserve">p. 9017, §3.3 (supuesto 3)</t>
  </si>
  <si>
    <t xml:space="preserve">Su modelo no restringe por calificación; el de ustedes sí (diferencia a declarar).</t>
  </si>
  <si>
    <t xml:space="preserve">P35</t>
  </si>
  <si>
    <t xml:space="preserve">Demanda y plazos</t>
  </si>
  <si>
    <t xml:space="preserve">Mezcla de análisis por técnica (Tabla 2)</t>
  </si>
  <si>
    <t xml:space="preserve">HPLC 40,7 %, GC 25,7 %, PSA 18,8 %, KF 7,1 %, DSC 4,0 %, XRPD 3,7 %</t>
  </si>
  <si>
    <t xml:space="preserve">% de análisis</t>
  </si>
  <si>
    <t xml:space="preserve">p. 9016, Tabla 2</t>
  </si>
  <si>
    <t xml:space="preserve">Probabilidad de la técnica de cada actividad (hoja Demanda).</t>
  </si>
  <si>
    <t xml:space="preserve">P36</t>
  </si>
  <si>
    <t xml:space="preserve">Volumen anual por técnica (Tabla 4, año 2015)</t>
  </si>
  <si>
    <t xml:space="preserve">HPLC 6099, GC 3910, PSA 3014, KF 1240, DSC 581, XRPD 479 análisis requeridos</t>
  </si>
  <si>
    <t xml:space="preserve">análisis/año</t>
  </si>
  <si>
    <t xml:space="preserve">p. 9018, Tabla 4</t>
  </si>
  <si>
    <t xml:space="preserve">Tasa de llegadas del escenario base (hoja Demanda).</t>
  </si>
  <si>
    <t xml:space="preserve">P37</t>
  </si>
  <si>
    <t xml:space="preserve">Volumen en el laboratorio de Coito</t>
  </si>
  <si>
    <t xml:space="preserve">Más de 2000 ensayos distintos; unas decenas de miles de ensayos al año</t>
  </si>
  <si>
    <t xml:space="preserve">Orden de magnitud del catálogo de métodos y del volumen anual.</t>
  </si>
  <si>
    <t xml:space="preserve">P38</t>
  </si>
  <si>
    <t xml:space="preserve">Carga diaria realista</t>
  </si>
  <si>
    <t xml:space="preserve">30 a 40 trabajos y 35 a 52 operaciones por día (basado en Costigliola et al., 2017)</t>
  </si>
  <si>
    <t xml:space="preserve">por día</t>
  </si>
  <si>
    <t xml:space="preserve">pp. 1424–1425, §4</t>
  </si>
  <si>
    <t xml:space="preserve">Chequeo de la tasa diaria del escenario base.</t>
  </si>
  <si>
    <t xml:space="preserve">P39</t>
  </si>
  <si>
    <t xml:space="preserve">Carga diaria y semanal en Martins</t>
  </si>
  <si>
    <t xml:space="preserve">10 trabajos (diaria) y 70 trabajos (semanal)</t>
  </si>
  <si>
    <t xml:space="preserve">trabajos</t>
  </si>
  <si>
    <t xml:space="preserve">pp. 190–191, §6</t>
  </si>
  <si>
    <t xml:space="preserve">Tamaño de instancias de prueba del prototipo.</t>
  </si>
  <si>
    <t xml:space="preserve">P40</t>
  </si>
  <si>
    <t xml:space="preserve">Tiempo promedio en el sistema por técnica (Tabla 5)</t>
  </si>
  <si>
    <t xml:space="preserve">HPLC 31 ± 1 h · GC 10,0 ± 0,8 h · PSA 4,0 ± 0,5 h · KF 3,0 ± 0,5 h · DSC 5,0 ± 0,8 h · XRPD 6,0 ± 0,6 h</t>
  </si>
  <si>
    <t xml:space="preserve">p. 9018, Tabla 5</t>
  </si>
  <si>
    <t xml:space="preserve">Anclar las fechas de entrega por técnica.</t>
  </si>
  <si>
    <t xml:space="preserve">P41</t>
  </si>
  <si>
    <t xml:space="preserve">Prioridad por tipo de muestra</t>
  </si>
  <si>
    <t xml:space="preserve">Control en proceso: unas 2 h en el sistema; baja prioridad (p. ej. materia prima): puede procesarse hasta una semana después</t>
  </si>
  <si>
    <t xml:space="preserve">h / días</t>
  </si>
  <si>
    <t xml:space="preserve">p. 9018, §4.1</t>
  </si>
  <si>
    <t xml:space="preserve">Anclar las fechas de entrega por tipo de muestra.</t>
  </si>
  <si>
    <t xml:space="preserve">P42</t>
  </si>
  <si>
    <t xml:space="preserve">Muestras urgentes</t>
  </si>
  <si>
    <t xml:space="preserve">Llegan muestras inesperadas con máxima prioridad que obligan a reprogramar en tiempo real (sin porcentaje)</t>
  </si>
  <si>
    <t xml:space="preserve">Respalda la perturbación de urgentes; el porcentaje queda como supuesto.</t>
  </si>
  <si>
    <t xml:space="preserve">P43</t>
  </si>
  <si>
    <t xml:space="preserve">Muestras que superan 24 h</t>
  </si>
  <si>
    <t xml:space="preserve">Un número considerable de muestras permanece más de 24 h en el laboratorio</t>
  </si>
  <si>
    <t xml:space="preserve">p. 180, §2.1</t>
  </si>
  <si>
    <t xml:space="preserve">Chequeo cualitativo de tiempos en sistema.</t>
  </si>
  <si>
    <t xml:space="preserve">P44</t>
  </si>
  <si>
    <t xml:space="preserve">Ventanas de tiempo en el TLSP</t>
  </si>
  <si>
    <t xml:space="preserve">Cada tarea tiene fecha de liberación, fecha de entrega (blanda) y fecha límite (dura)</t>
  </si>
  <si>
    <t xml:space="preserve">p. 539, §3.1.2</t>
  </si>
  <si>
    <t xml:space="preserve">Modelar plazo objetivo y plazo máximo por actividad.</t>
  </si>
  <si>
    <t xml:space="preserve">P45</t>
  </si>
  <si>
    <t xml:space="preserve">Escenarios y perturbaciones</t>
  </si>
  <si>
    <t xml:space="preserve">Escenario de sobrecarga</t>
  </si>
  <si>
    <t xml:space="preserve">+50 % de muestras respecto al periodo base (escenario 2)</t>
  </si>
  <si>
    <t xml:space="preserve">p. 9019, §4.2 y Tabla 7</t>
  </si>
  <si>
    <t xml:space="preserve">Escenario de carga alta (hoja Demanda).</t>
  </si>
  <si>
    <t xml:space="preserve">P46</t>
  </si>
  <si>
    <t xml:space="preserve">Cuello de botella esperado</t>
  </si>
  <si>
    <t xml:space="preserve">Con +50 % de carga faltan analistas; el número de equipos alcanza</t>
  </si>
  <si>
    <t xml:space="preserve">p. 9019, §4.2 y §5</t>
  </si>
  <si>
    <t xml:space="preserve">Chequeo de plausibilidad: en carga alta la restricción debe ser de analistas.</t>
  </si>
  <si>
    <t xml:space="preserve">P47</t>
  </si>
  <si>
    <t xml:space="preserve">Políticas e indicadores</t>
  </si>
  <si>
    <t xml:space="preserve">Política de cola del laboratorio real</t>
  </si>
  <si>
    <t xml:space="preserve">Maximum lateness first: ordenar para minimizar el retraso máximo (fin estimado − fecha de entrega)</t>
  </si>
  <si>
    <t xml:space="preserve">Base para definir la regla experta (O3).</t>
  </si>
  <si>
    <t xml:space="preserve">P48</t>
  </si>
  <si>
    <t xml:space="preserve">Heurística alternativa de Costigliola</t>
  </si>
  <si>
    <t xml:space="preserve">Preferir el equipo que ya está apto para el método; si tiene 5 o más muestras en cola, preferir uno con cola más corta</t>
  </si>
  <si>
    <t xml:space="preserve">p. 9019, §4.2</t>
  </si>
  <si>
    <t xml:space="preserve">Segundo ingrediente posible de la regla experta.</t>
  </si>
  <si>
    <t xml:space="preserve">P49</t>
  </si>
  <si>
    <t xml:space="preserve">Reglas de despacho usadas en la literatura</t>
  </si>
  <si>
    <t xml:space="preserve">FIFO, FSFO, aleatoria y SPT (Scholz-Reiter et al., 2009); SPT, EDD, FIFO y LPT (El Maraghy et al., 2000)</t>
  </si>
  <si>
    <t xml:space="preserve">pp. 181–182, §2.2</t>
  </si>
  <si>
    <t xml:space="preserve">Respalda FIFO y aleatoria como políticas de referencia.</t>
  </si>
  <si>
    <t xml:space="preserve">P50</t>
  </si>
  <si>
    <t xml:space="preserve">Criterios de orden de Ruiz-Torres et al. (2012)</t>
  </si>
  <si>
    <t xml:space="preserve">Fecha de entrega, número de ensayos restantes del trabajo, técnicos disponibles y hora de llegada</t>
  </si>
  <si>
    <t xml:space="preserve">Ingredientes para la regla experta y la regla informada.</t>
  </si>
  <si>
    <t xml:space="preserve">P51</t>
  </si>
  <si>
    <t xml:space="preserve">Indicadores de Costigliola</t>
  </si>
  <si>
    <t xml:space="preserve">Throughput, tasa de uso de equipos (tiempo operativo / tiempo disponible), tiempo en el sistema y tiempos por tarea</t>
  </si>
  <si>
    <t xml:space="preserve">p. 9018, §4</t>
  </si>
  <si>
    <t xml:space="preserve">Complementan makespan, tardanza y cumplimiento del anteproyecto.</t>
  </si>
  <si>
    <t xml:space="preserve">P52</t>
  </si>
  <si>
    <t xml:space="preserve">Validación del modelo de Costigliola</t>
  </si>
  <si>
    <t xml:space="preserve">Diferencia promedio de 1,5 % entre la tasa de uso real y la simulada</t>
  </si>
  <si>
    <t xml:space="preserve">Referencia para la validación del entorno simulado.</t>
  </si>
  <si>
    <t xml:space="preserve">P53</t>
  </si>
  <si>
    <t xml:space="preserve">Límite del enfoque exacto</t>
  </si>
  <si>
    <t xml:space="preserve">El MILP no garantiza el óptimo en 1 h con 35–52 operaciones (brecha de 66,67 % y 75 %)</t>
  </si>
  <si>
    <t xml:space="preserve">p. 1425, Tabla 7</t>
  </si>
  <si>
    <t xml:space="preserve">Justifica usar una regla de despacho y no un optimizador exacto.</t>
  </si>
  <si>
    <t xml:space="preserve">P54</t>
  </si>
  <si>
    <t xml:space="preserve">Contraste estructural</t>
  </si>
  <si>
    <t xml:space="preserve">Recursos del TLSP</t>
  </si>
  <si>
    <t xml:space="preserve">Empleados calificados, mesas de trabajo (equivalentes a máquinas) y grupos de equipos auxiliares; franja de tiempo = medio día</t>
  </si>
  <si>
    <t xml:space="preserve">p. 538, §3.1.1</t>
  </si>
  <si>
    <t xml:space="preserve">Mapear sus recursos a analistas y equipos para el contraste (1 nov).</t>
  </si>
  <si>
    <t xml:space="preserve">P55</t>
  </si>
  <si>
    <t xml:space="preserve">Modos de tarea en el TLSP (Tabla 2)</t>
  </si>
  <si>
    <t xml:space="preserve">Single (velocidad 1, 1 empleado), Shift (0,6; 2 empleados), External (1; 0 empleados)</t>
  </si>
  <si>
    <t xml:space="preserve">p. 548, Tabla 2</t>
  </si>
  <si>
    <t xml:space="preserve">Diferencia estructural a comentar en el contraste.</t>
  </si>
  <si>
    <t xml:space="preserve">P56</t>
  </si>
  <si>
    <t xml:space="preserve">Conjuntos públicos de instancias</t>
  </si>
  <si>
    <t xml:space="preserve">General y LabStructure, 60 instancias cada uno; de 5 proyectos en 88 franjas a 90 proyectos en 782; ~4 trabajos por proyecto; ≈5 % de trabajos fijos; 3 instancias reales anonimizadas</t>
  </si>
  <si>
    <t xml:space="preserve">Instancias para el contraste estructural (descarga en la página de TU Wien).</t>
  </si>
  <si>
    <t xml:space="preserve">P57</t>
  </si>
  <si>
    <t xml:space="preserve">Código fuente de Martins et al.</t>
  </si>
  <si>
    <t xml:space="preserve">Repositorio público en GitHub (miguelsem/Minimizing-total-completion-time-in-large-sized-pharmaceutical-quality-control-scheduling)</t>
  </si>
  <si>
    <t xml:space="preserve">p. 192, nota 1</t>
  </si>
  <si>
    <t xml:space="preserve">Revisar cómo generan sus instancias (referencia para el contraste).</t>
  </si>
  <si>
    <t xml:space="preserve">P58</t>
  </si>
  <si>
    <t xml:space="preserve">Catálogo de métodos</t>
  </si>
  <si>
    <t xml:space="preserve">Ensayos que exige una especificación</t>
  </si>
  <si>
    <t xml:space="preserve">Universales: descripción, identificación, valoración e impurezas (incluye solventes residuales, según ICH Q3C) · Específicos del principio activo: propiedades fisicoquímicas como el punto de fusión, tamaño de partícula, formas polimórficas y contenido de agua, entre otros</t>
  </si>
  <si>
    <t xml:space="preserve">ICH (1999)</t>
  </si>
  <si>
    <t xml:space="preserve">§3.2.1 y §3.3.1</t>
  </si>
  <si>
    <t xml:space="preserve">Criterio para elegir los ensayos típicos del catálogo.</t>
  </si>
  <si>
    <t xml:space="preserve">P59</t>
  </si>
  <si>
    <t xml:space="preserve">Capítulo de referencia de cada ensayo</t>
  </si>
  <si>
    <t xml:space="preserve">&lt;621&gt; Cromatografía · &lt;1086&gt; Impurezas · &lt;467&gt; Solventes residuales · &lt;429&gt; Tamaño de partícula por difracción láser · &lt;921&gt; Determinación de agua · &lt;891&gt; Análisis térmico · &lt;941&gt; Difracción de rayos X de polvo</t>
  </si>
  <si>
    <t xml:space="preserve">USP (s. f.)</t>
  </si>
  <si>
    <t xml:space="preserve">Capítulos generales</t>
  </si>
  <si>
    <t xml:space="preserve">Respaldo normativo de cada método (columna Referencia de la hoja Catálogo).</t>
  </si>
  <si>
    <t xml:space="preserve">P60</t>
  </si>
  <si>
    <t xml:space="preserve">Métodos del laboratorio de referencia</t>
  </si>
  <si>
    <t xml:space="preserve">12 ensayos típicos, dos por técnica; ver hoja Catálogo</t>
  </si>
  <si>
    <t xml:space="preserve">métodos</t>
  </si>
  <si>
    <t xml:space="preserve">Supuesto (sin fuente)</t>
  </si>
  <si>
    <t xml:space="preserve">Valores posibles del atributo «método» de cada actividad (anteproyecto, §1.4).</t>
  </si>
  <si>
    <t xml:space="preserve">P61</t>
  </si>
  <si>
    <t xml:space="preserve">Soluciones de análisis promedio por técnica (implícitas)</t>
  </si>
  <si>
    <t xml:space="preserve">HPLC 2,0 · GC 2,9 · PSA 2,8 · KF 4,2 · DSC 3,1 · XRPD 3,9 (preparación del análisis de la Tabla 6 ÷ media de la preparación por solución de la Tabla 3)</t>
  </si>
  <si>
    <t xml:space="preserve">soluciones</t>
  </si>
  <si>
    <t xml:space="preserve">Derivado (cálculo propio)</t>
  </si>
  <si>
    <t xml:space="preserve">Tabla 3, p. 9016; Tabla 6 y §4.1, p. 9019</t>
  </si>
  <si>
    <t xml:space="preserve">Fija la participación de cada método dentro de su técnica (hoja Calibración del catálogo, bloque B).</t>
  </si>
  <si>
    <t xml:space="preserve">P62</t>
  </si>
  <si>
    <t xml:space="preserve">Técnicas con preparación e idoneidad del sistema</t>
  </si>
  <si>
    <t xml:space="preserve">Solo HPLC y GC (en PSA, KF, DSC y XRPD la Tabla 6 marca n.a.)</t>
  </si>
  <si>
    <t xml:space="preserve">Columna «Requiere idoneidad» de la hoja Catálogo.</t>
  </si>
  <si>
    <t xml:space="preserve">P63</t>
  </si>
  <si>
    <t xml:space="preserve">Definiciones de materia prima (material de partida), producto intermedio, granel, producto terminado y control en proceso</t>
  </si>
  <si>
    <t xml:space="preserve">Ver columna «Definición» de la hoja Tipos de muestra</t>
  </si>
  <si>
    <t xml:space="preserve">WHO (2014)</t>
  </si>
  <si>
    <t xml:space="preserve">Glosario, pp. 82–85</t>
  </si>
  <si>
    <t xml:space="preserve">Definición de cada tipo de muestra.</t>
  </si>
  <si>
    <t xml:space="preserve">P64</t>
  </si>
  <si>
    <t xml:space="preserve">Origen de las muestras de un lote</t>
  </si>
  <si>
    <t xml:space="preserve">Cada lote genera muestras de materia prima, de control en proceso, de producto terminado y de estabilidad; cada muestra agrupa varios ensayos</t>
  </si>
  <si>
    <t xml:space="preserve">p. 178, §1</t>
  </si>
  <si>
    <t xml:space="preserve">Respalda los tipos de muestra del laboratorio.</t>
  </si>
  <si>
    <t xml:space="preserve">P65</t>
  </si>
  <si>
    <t xml:space="preserve">Ensayos según producto y origen</t>
  </si>
  <si>
    <t xml:space="preserve">Cada combinación de producto y origen (p. ej., materia prima o producto terminado) suele tener un conjunto predeterminado de ensayos</t>
  </si>
  <si>
    <t xml:space="preserve">Respalda la matriz método–tipo de muestra (hoja Catálogo).</t>
  </si>
  <si>
    <t xml:space="preserve">P66</t>
  </si>
  <si>
    <t xml:space="preserve">Frecuencia de los estudios de estabilidad a largo plazo</t>
  </si>
  <si>
    <t xml:space="preserve">Cada 3 meses el primer año, cada 6 meses el segundo y luego una vez al año</t>
  </si>
  <si>
    <t xml:space="preserve">WHO (2018)</t>
  </si>
  <si>
    <t xml:space="preserve">§2.1.6, p. 315; §2.2.6, p. 324</t>
  </si>
  <si>
    <t xml:space="preserve">Las muestras de estabilidad llegan programadas, no al azar.</t>
  </si>
  <si>
    <t xml:space="preserve">P67</t>
  </si>
  <si>
    <t xml:space="preserve">Horas-analista por semana y peso del turno de 24 horas</t>
  </si>
  <si>
    <t xml:space="preserve">946 horas-analista por semana; el turno 1 (24 h, 7 días) aporta el 35,5 % y las horas en que solo trabaja ese turno, el 18,6 %</t>
  </si>
  <si>
    <t xml:space="preserve">Rango de referencia para la proporción de control en proceso (S17).</t>
  </si>
  <si>
    <t xml:space="preserve">P68</t>
  </si>
  <si>
    <t xml:space="preserve">Numeración de los HPLC en la Figura 5</t>
  </si>
  <si>
    <t xml:space="preserve">La figura muestra equipos numerados hasta HPLC22: el laboratorio tiene al menos 22 HPLC</t>
  </si>
  <si>
    <t xml:space="preserve">p. 9018, Fig. 5</t>
  </si>
  <si>
    <t xml:space="preserve">Chequeo del número de HPLC (hoja Calibración de recursos).</t>
  </si>
  <si>
    <t xml:space="preserve">P69</t>
  </si>
  <si>
    <t xml:space="preserve">Rotación que reproduce el turno 1</t>
  </si>
  <si>
    <t xml:space="preserve">Con 3 parejas en ciclo de 2 días, 2 noches y 2 libres hay siempre 2 analistas en turno y cada analista trabaja 56 h por semana, como en la Tabla 1</t>
  </si>
  <si>
    <t xml:space="preserve">h por semana</t>
  </si>
  <si>
    <t xml:space="preserve">Tabla 1, p. 9015</t>
  </si>
  <si>
    <t xml:space="preserve">Calendario del turno 1 (hoja Rotación).</t>
  </si>
  <si>
    <t xml:space="preserve">P70</t>
  </si>
  <si>
    <t xml:space="preserve">Política de mantenimiento y calificación de equipos</t>
  </si>
  <si>
    <t xml:space="preserve">El laboratorio fija cuándo se da servicio a los equipos y lleva un plan o matriz con el momento de cada intervención; tras un mantenimiento o reparación el equipo se recalifica, y el equipo defectuoso sale de servicio hasta repararse y recalificarse</t>
  </si>
  <si>
    <t xml:space="preserve">WHO (2024)</t>
  </si>
  <si>
    <t xml:space="preserve">s. 5.33–5.35, p. 175; s. 5.39–5.40, p. 176</t>
  </si>
  <si>
    <t xml:space="preserve">Respalda las ventanas planificadas y la salida de servicio por falla (hoja Mantenimiento).</t>
  </si>
  <si>
    <t xml:space="preserve">P71</t>
  </si>
  <si>
    <t xml:space="preserve">Verificaciones periódicas de los equipos</t>
  </si>
  <si>
    <t xml:space="preserve">Las verificaciones periódicas y motivadas (nivel III) son obligatorias como requisito de la ISO/IEC 17025; la guía no fija frecuencia y deja la elección al criterio de cada laboratorio</t>
  </si>
  <si>
    <t xml:space="preserve">EDQM (2025)</t>
  </si>
  <si>
    <t xml:space="preserve">Anexo 2, PA/PH/OMCL (16) 17 R3</t>
  </si>
  <si>
    <t xml:space="preserve">La frecuencia de las ventanas queda como supuesto (S26).</t>
  </si>
  <si>
    <t xml:space="preserve">P72</t>
  </si>
  <si>
    <t xml:space="preserve">Elegibilidad restringida de máquinas y analistas</t>
  </si>
  <si>
    <t xml:space="preserve">Solo máquinas específicas pueden hacer ciertos ensayos, y los analistas no están entrenados en todos los análisis</t>
  </si>
  <si>
    <t xml:space="preserve">Respalda la compatibilidad equipo–método y la matriz de calificación.</t>
  </si>
  <si>
    <t xml:space="preserve">P73</t>
  </si>
  <si>
    <t xml:space="preserve">Indicador de cumplimiento de plazos</t>
  </si>
  <si>
    <t xml:space="preserve">Ejemplo de indicador de desempeño: porcentaje de informes de análisis emitidos dentro de un plazo definido (sin fijar plazos)</t>
  </si>
  <si>
    <t xml:space="preserve">s. 4.15, p. 165</t>
  </si>
  <si>
    <t xml:space="preserve">Respalda el plazo como atributo de cada muestra y el indicador de cumplimiento (O3).</t>
  </si>
  <si>
    <t xml:space="preserve">P74</t>
  </si>
  <si>
    <t xml:space="preserve">Estructura del registro</t>
  </si>
  <si>
    <t xml:space="preserve">Tiempo en el sistema y tiempo de proceso</t>
  </si>
  <si>
    <t xml:space="preserve">El tiempo que una muestra pasa en el laboratorio suma los tiempos de proceso y de espera; los tiempos de proceso se reportan por tarea</t>
  </si>
  <si>
    <t xml:space="preserve">p. 9018, §4 y §4.1</t>
  </si>
  <si>
    <t xml:space="preserve">Separa el objetivo del O2 (tiempo de ejecución, sin esperas) de los indicadores del O3 (espera y tiempo en el sistema).</t>
  </si>
  <si>
    <t xml:space="preserve">P75</t>
  </si>
  <si>
    <t xml:space="preserve">Muestra y ensayos</t>
  </si>
  <si>
    <t xml:space="preserve">Una muestra suele ser un conjunto de viales tomados a la vez, que permite varios ensayos sobre producto no contaminado</t>
  </si>
  <si>
    <t xml:space="preserve">Los atributos de la muestra se repiten en cada uno de sus registros; sus ensayos pueden ir en paralelo (S28).</t>
  </si>
  <si>
    <t xml:space="preserve">P76</t>
  </si>
  <si>
    <t xml:space="preserve">Asignación de cada operación</t>
  </si>
  <si>
    <t xml:space="preserve">Cada operación (ensayo) de un trabajo (muestra) va a una máquina y a un analista; la máquina se ocupa todo el procesamiento y el analista solo en sus tareas, que hace todas él</t>
  </si>
  <si>
    <t xml:space="preserve">pp. 182–183, §3.1</t>
  </si>
  <si>
    <t xml:space="preserve">Un equipo y un analista por registro.</t>
  </si>
  <si>
    <t xml:space="preserve">P77</t>
  </si>
  <si>
    <t xml:space="preserve">Precedencia entre operaciones del mismo trabajo</t>
  </si>
  <si>
    <t xml:space="preserve">Su modelo impone precedencia entre las operaciones de un trabajo (restricción 5)</t>
  </si>
  <si>
    <t xml:space="preserve">p. 185, restricción (5)</t>
  </si>
  <si>
    <t xml:space="preserve">No se aplica (S28); la diferencia se reporta en el contraste estructural.</t>
  </si>
  <si>
    <t xml:space="preserve">P78</t>
  </si>
  <si>
    <t xml:space="preserve">Precedencia entre ensayos de una muestra</t>
  </si>
  <si>
    <t xml:space="preserve">Una muestra puede requerir varias técnicas, con o sin precedencia entre ellas; en su modelo, un ensayo empieza cuando termina el anterior (restricción 2)</t>
  </si>
  <si>
    <t xml:space="preserve">p. 1422, §2; p. 1423, §3.3</t>
  </si>
  <si>
    <t xml:space="preserve">P79</t>
  </si>
  <si>
    <t xml:space="preserve">Predecesores de una tarea</t>
  </si>
  <si>
    <t xml:space="preserve">Cada tarea puede tener una lista de predecesores directos, solo dentro del mismo proyecto</t>
  </si>
  <si>
    <t xml:space="preserve">p. 539, §3</t>
  </si>
  <si>
    <t xml:space="preserve">No se aplica (S28); en el TLSP la precedencia es opcional.</t>
  </si>
  <si>
    <t xml:space="preserve">Duraciones: tres puntos por técnica y tarea</t>
  </si>
  <si>
    <t xml:space="preserve">Costigliola et al. (2017), Tabla 3, p. 9016. Minutos. a = mínimo, m = moda, b = máximo. Media PERT y desviaciones con fórmula: la aproximada de los libros, (b−a)/6, y la exacta de la BetaPERT con λ = 4, que usa src/generador/duraciones.py.</t>
  </si>
  <si>
    <t xml:space="preserve">Técnica</t>
  </si>
  <si>
    <t xml:space="preserve">Tarea</t>
  </si>
  <si>
    <t xml:space="preserve">Distribución original</t>
  </si>
  <si>
    <t xml:space="preserve">a (mín)</t>
  </si>
  <si>
    <t xml:space="preserve">m (moda)</t>
  </si>
  <si>
    <t xml:space="preserve">b (máx)</t>
  </si>
  <si>
    <t xml:space="preserve">Media PERT (a+4m+b)/6</t>
  </si>
  <si>
    <t xml:space="preserve">Desv. aproximada (b−a)/6</t>
  </si>
  <si>
    <t xml:space="preserve">Desv. BetaPERT exacta (λ = 4)</t>
  </si>
  <si>
    <t xml:space="preserve">Media triangular (a+m+b)/3</t>
  </si>
  <si>
    <t xml:space="preserve">Nota</t>
  </si>
  <si>
    <t xml:space="preserve">HPLC</t>
  </si>
  <si>
    <t xml:space="preserve">Preparación de muestra</t>
  </si>
  <si>
    <t xml:space="preserve">T(5, 40, 100)</t>
  </si>
  <si>
    <t xml:space="preserve">Montaje del equipo</t>
  </si>
  <si>
    <t xml:space="preserve">T(25, 50, 65)</t>
  </si>
  <si>
    <t xml:space="preserve">Corrida</t>
  </si>
  <si>
    <t xml:space="preserve">Det.</t>
  </si>
  <si>
    <t xml:space="preserve">Dato + supuesto</t>
  </si>
  <si>
    <t xml:space="preserve">Determinista en la fuente (sale del informe de cada método, no se publica). La corrida por método está en la hoja Catálogo (supuestos S05 y S14).</t>
  </si>
  <si>
    <t xml:space="preserve">Procesamiento de datos</t>
  </si>
  <si>
    <t xml:space="preserve">T(2, 5, 10)</t>
  </si>
  <si>
    <t xml:space="preserve">GC</t>
  </si>
  <si>
    <t xml:space="preserve">T(5, 10, 35)</t>
  </si>
  <si>
    <t xml:space="preserve">T(2, 5, 30)</t>
  </si>
  <si>
    <t xml:space="preserve">T(10, 20, 45)</t>
  </si>
  <si>
    <t xml:space="preserve">PSA</t>
  </si>
  <si>
    <t xml:space="preserve">T(5, 7.5, 21)</t>
  </si>
  <si>
    <t xml:space="preserve">U(1, 32)</t>
  </si>
  <si>
    <t xml:space="preserve">La fuente da una uniforme U(mín, máx). Para BetaPERT se propone la moda en el punto medio (supuesto); también pueden dejarla uniforme.</t>
  </si>
  <si>
    <t xml:space="preserve">T(5, 10, 30)</t>
  </si>
  <si>
    <t xml:space="preserve">T(2, 6, 10)</t>
  </si>
  <si>
    <t xml:space="preserve">KF</t>
  </si>
  <si>
    <t xml:space="preserve">T(1, 6, 25)</t>
  </si>
  <si>
    <t xml:space="preserve">T(4, 8, 16)</t>
  </si>
  <si>
    <t xml:space="preserve">T(2, 5, 56)</t>
  </si>
  <si>
    <t xml:space="preserve">T(10, 20, 30)</t>
  </si>
  <si>
    <t xml:space="preserve">DSC</t>
  </si>
  <si>
    <t xml:space="preserve">T(1, 3, 12)</t>
  </si>
  <si>
    <t xml:space="preserve">U(12, 180)</t>
  </si>
  <si>
    <t xml:space="preserve">T(4, 9, 16)</t>
  </si>
  <si>
    <t xml:space="preserve">XRPD</t>
  </si>
  <si>
    <t xml:space="preserve">T(5, 10, 20)</t>
  </si>
  <si>
    <t xml:space="preserve">T(1, 5, 20)</t>
  </si>
  <si>
    <t xml:space="preserve">T(11, 25, 203)</t>
  </si>
  <si>
    <t xml:space="preserve">T(2, 7, 30)</t>
  </si>
  <si>
    <t xml:space="preserve">Fuente: Costigliola et al. (2017), Tabla 3, p. 9016. La conversión de triangular a BetaPERT con los mismos tres puntos es una adaptación propia (declararla en la metodología).</t>
  </si>
  <si>
    <t xml:space="preserve">Tiempos promedio por tarea del modelo de Costigliola (Tabla 6, p. 9019) · min · promedio ± desviación entre corridas</t>
  </si>
  <si>
    <t xml:space="preserve">Prep. del sistema</t>
  </si>
  <si>
    <t xml:space="preserve">Idoneidad del sistema</t>
  </si>
  <si>
    <t xml:space="preserve">Prep. del análisis</t>
  </si>
  <si>
    <t xml:space="preserve">Análisis</t>
  </si>
  <si>
    <t xml:space="preserve">Proc. de datos</t>
  </si>
  <si>
    <t xml:space="preserve">207 ± 14</t>
  </si>
  <si>
    <t xml:space="preserve">227 ± 11</t>
  </si>
  <si>
    <t xml:space="preserve">96 ± 3</t>
  </si>
  <si>
    <t xml:space="preserve">85 ± 1</t>
  </si>
  <si>
    <t xml:space="preserve">59 ± 2</t>
  </si>
  <si>
    <t xml:space="preserve">67 ± 5</t>
  </si>
  <si>
    <t xml:space="preserve">152 ± 5</t>
  </si>
  <si>
    <t xml:space="preserve">48 ± 1</t>
  </si>
  <si>
    <t xml:space="preserve">62 ± 1</t>
  </si>
  <si>
    <t xml:space="preserve">39 ± 1</t>
  </si>
  <si>
    <t xml:space="preserve">n.a.</t>
  </si>
  <si>
    <t xml:space="preserve">31 ± 1</t>
  </si>
  <si>
    <t xml:space="preserve">32 ± 1</t>
  </si>
  <si>
    <t xml:space="preserve">16 ± 1</t>
  </si>
  <si>
    <t xml:space="preserve">45 ± 3</t>
  </si>
  <si>
    <t xml:space="preserve">30 ± 2</t>
  </si>
  <si>
    <t xml:space="preserve">29 ± 2</t>
  </si>
  <si>
    <t xml:space="preserve">47 ± 2</t>
  </si>
  <si>
    <t xml:space="preserve">101 ± 3</t>
  </si>
  <si>
    <t xml:space="preserve">24 ± 2</t>
  </si>
  <si>
    <t xml:space="preserve">46 ± 1</t>
  </si>
  <si>
    <t xml:space="preserve">88 ± 3</t>
  </si>
  <si>
    <t xml:space="preserve">30 ± 1</t>
  </si>
  <si>
    <t xml:space="preserve">Uso: referencia de validación (los promedios del generador deberían quedar en ese orden de magnitud). Prep. del sistema/análisis = prep. de muestra × n.º de soluciones (p. 9019).</t>
  </si>
  <si>
    <t xml:space="preserve">Tiempos promedio por tarea: estimación de expertos vs. medición (Coito et al., 2021, Tabla 2, p. 74) · min</t>
  </si>
  <si>
    <t xml:space="preserve">Expertos (sistema anterior)</t>
  </si>
  <si>
    <t xml:space="preserve">Medido (sistema propuesto)</t>
  </si>
  <si>
    <t xml:space="preserve">Diferencia (fórmula)</t>
  </si>
  <si>
    <t xml:space="preserve">Reducción (fórmula)</t>
  </si>
  <si>
    <t xml:space="preserve">Reducción reportada</t>
  </si>
  <si>
    <t xml:space="preserve">Preparación del sistema</t>
  </si>
  <si>
    <t xml:space="preserve">Corrida analítica</t>
  </si>
  <si>
    <t xml:space="preserve">Total (suma)</t>
  </si>
  <si>
    <t xml:space="preserve">La fuente reporta un total de 662 min (expertos) y 529 min (medido); la suma de la tabla debe coincidir. El 90 % de los ensayos queda entre 458 y 786 min (p. 74).</t>
  </si>
  <si>
    <t xml:space="preserve">Demanda: mezcla, volumen y escenarios de carga</t>
  </si>
  <si>
    <t xml:space="preserve">Datos de Costigliola et al. (2017) y Cunha et al. (2019). Las celdas amarillas son supuestos que pueden cambiar.</t>
  </si>
  <si>
    <t xml:space="preserve">% de análisis (Tabla 2)</t>
  </si>
  <si>
    <t xml:space="preserve">Análisis requeridos al año (Tabla 4)</t>
  </si>
  <si>
    <t xml:space="preserve">% según Tabla 4 (fórmula)</t>
  </si>
  <si>
    <t xml:space="preserve">Promedio por día calendario (fórmula)</t>
  </si>
  <si>
    <t xml:space="preserve">Promedio por día hábil (fórmula)</t>
  </si>
  <si>
    <t xml:space="preserve">Total</t>
  </si>
  <si>
    <t xml:space="preserve">Fuente: Costigliola et al. (2017), Tabla 2 (p. 9016) y Tabla 4 (p. 9018, año 2015). Las dos tablas no coinciden exactamente porque vienen de bases distintas; elijan una y decláralo.</t>
  </si>
  <si>
    <t xml:space="preserve">Días calendario al año</t>
  </si>
  <si>
    <t xml:space="preserve">El control en proceso funciona 24/7 (Costigliola, p. 9015).</t>
  </si>
  <si>
    <t xml:space="preserve">Días hábiles al año</t>
  </si>
  <si>
    <t xml:space="preserve">Supuesto: 52 semanas × 5 días (estabilidad, desarrollo y validación van de lunes a viernes, p. 9015).</t>
  </si>
  <si>
    <t xml:space="preserve">Ensayos por muestra (Cunha et al., 2019, p. 1425)</t>
  </si>
  <si>
    <t xml:space="preserve">N.º de ensayos</t>
  </si>
  <si>
    <t xml:space="preserve">Aporte (fórmula)</t>
  </si>
  <si>
    <t xml:space="preserve">Ensayos promedio por muestra</t>
  </si>
  <si>
    <t xml:space="preserve">Chequeo: los % suman</t>
  </si>
  <si>
    <t xml:space="preserve">Escenarios de carga (análisis por día calendario)</t>
  </si>
  <si>
    <t xml:space="preserve">Escenario</t>
  </si>
  <si>
    <t xml:space="preserve">Multiplicador</t>
  </si>
  <si>
    <t xml:space="preserve">Análisis por día (fórmula)</t>
  </si>
  <si>
    <t xml:space="preserve">Muestras por día (fórmula)</t>
  </si>
  <si>
    <t xml:space="preserve">Origen</t>
  </si>
  <si>
    <t xml:space="preserve">Baja</t>
  </si>
  <si>
    <t xml:space="preserve">Supuesto: −30 % respecto a la base (pueden cambiarlo).</t>
  </si>
  <si>
    <t xml:space="preserve">Base</t>
  </si>
  <si>
    <t xml:space="preserve">Volumen 2015 de Costigliola et al. (2017), Tabla 4.</t>
  </si>
  <si>
    <t xml:space="preserve">Alta</t>
  </si>
  <si>
    <t xml:space="preserve">+50 %, escenario 2 de Costigliola et al. (2017), p. 9019.</t>
  </si>
  <si>
    <t xml:space="preserve">Chequeo con Cunha et al. (2019, pp. 1424–1425): una carga diaria realista tiene 30–40 trabajos y 35–52 operaciones; comparen con la fila Base.</t>
  </si>
  <si>
    <t xml:space="preserve">Catálogo de métodos del laboratorio de referencia</t>
  </si>
  <si>
    <t xml:space="preserve">Doce ensayos típicos, dos por técnica. Amarillo = decisión (complejidad y tipos de muestra); el resto se calcula en la hoja Calibración del catálogo.</t>
  </si>
  <si>
    <t xml:space="preserve">Fuentes: técnicas y mezcla de Costigliola et al. (2017, pp. 9015–9016); ensayos de ICH Q6A (1999, §3.2.1 y §3.3.1); capítulos generales de la USP–NF. Tipos de muestra: MP materia prima, IN intermedio, GR granel, PT producto terminado, ES estabilidad.</t>
  </si>
  <si>
    <t xml:space="preserve">Ensayo</t>
  </si>
  <si>
    <t xml:space="preserve">Qué mide</t>
  </si>
  <si>
    <t xml:space="preserve">Referencia</t>
  </si>
  <si>
    <t xml:space="preserve">Equipo requerido</t>
  </si>
  <si>
    <t xml:space="preserve">Requiere idoneidad</t>
  </si>
  <si>
    <t xml:space="preserve">Complejidad</t>
  </si>
  <si>
    <t xml:space="preserve">Soluciones mín</t>
  </si>
  <si>
    <t xml:space="preserve">Soluciones máx</t>
  </si>
  <si>
    <t xml:space="preserve">Calificación mínima</t>
  </si>
  <si>
    <t xml:space="preserve">Participación en la técnica</t>
  </si>
  <si>
    <t xml:space="preserve">Participación en la demanda</t>
  </si>
  <si>
    <t xml:space="preserve">Corrida: regla</t>
  </si>
  <si>
    <t xml:space="preserve">Corrida mín (min)</t>
  </si>
  <si>
    <t xml:space="preserve">Corrida moda (min)</t>
  </si>
  <si>
    <t xml:space="preserve">Corrida máx (min)</t>
  </si>
  <si>
    <t xml:space="preserve">Cuantil desde</t>
  </si>
  <si>
    <t xml:space="preserve">Cuantil hasta</t>
  </si>
  <si>
    <t xml:space="preserve">Corrida promedio (min)</t>
  </si>
  <si>
    <t xml:space="preserve">Prob. de reanálisis</t>
  </si>
  <si>
    <t xml:space="preserve">MP</t>
  </si>
  <si>
    <t xml:space="preserve">IN</t>
  </si>
  <si>
    <t xml:space="preserve">GR</t>
  </si>
  <si>
    <t xml:space="preserve">PT</t>
  </si>
  <si>
    <t xml:space="preserve">ES</t>
  </si>
  <si>
    <t xml:space="preserve">Por qué esa complejidad</t>
  </si>
  <si>
    <t xml:space="preserve">M01</t>
  </si>
  <si>
    <t xml:space="preserve">Valoración del principio activo</t>
  </si>
  <si>
    <t xml:space="preserve">Contenido del principio activo frente a un estándar de referencia; la identificación por tiempo de retención sale de la misma corrida</t>
  </si>
  <si>
    <t xml:space="preserve">USP &lt;621&gt;</t>
  </si>
  <si>
    <t xml:space="preserve">HPLC con detector UV</t>
  </si>
  <si>
    <t xml:space="preserve">Sí</t>
  </si>
  <si>
    <t xml:space="preserve">baja</t>
  </si>
  <si>
    <t xml:space="preserve">Triangular alrededor de la moda (S05 y S14)</t>
  </si>
  <si>
    <t xml:space="preserve">X</t>
  </si>
  <si>
    <t xml:space="preserve">Muestra por duplicado; los estándares van en la preparación del sistema.</t>
  </si>
  <si>
    <t xml:space="preserve">M02</t>
  </si>
  <si>
    <t xml:space="preserve">Sustancias relacionadas</t>
  </si>
  <si>
    <t xml:space="preserve">Impurezas orgánicas y productos de degradación</t>
  </si>
  <si>
    <t xml:space="preserve">USP &lt;621&gt; y &lt;1086&gt;</t>
  </si>
  <si>
    <t xml:space="preserve">HPLC con detector UV/DAD y gradiente</t>
  </si>
  <si>
    <t xml:space="preserve">media</t>
  </si>
  <si>
    <t xml:space="preserve">Muestra por duplicado, muestra adicionada y estándar diluido.</t>
  </si>
  <si>
    <t xml:space="preserve">M03</t>
  </si>
  <si>
    <t xml:space="preserve">Pureza de materias primas volátiles</t>
  </si>
  <si>
    <t xml:space="preserve">Pureza de solventes y otras materias primas volátiles</t>
  </si>
  <si>
    <t xml:space="preserve">GC con inyección líquida y detector FID</t>
  </si>
  <si>
    <t xml:space="preserve">Una o dos inyecciones directas del líquido.</t>
  </si>
  <si>
    <t xml:space="preserve">M04</t>
  </si>
  <si>
    <t xml:space="preserve">Solventes residuales</t>
  </si>
  <si>
    <t xml:space="preserve">Solventes orgánicos que quedan del proceso de fabricación</t>
  </si>
  <si>
    <t xml:space="preserve">USP &lt;467&gt;</t>
  </si>
  <si>
    <t xml:space="preserve">GC con muestreador de espacio de cabeza y detector FID</t>
  </si>
  <si>
    <t xml:space="preserve">Viales de muestra por duplicado y muestra adicionada.</t>
  </si>
  <si>
    <t xml:space="preserve">M05</t>
  </si>
  <si>
    <t xml:space="preserve">Tamaño de partícula, vía seca</t>
  </si>
  <si>
    <t xml:space="preserve">Distribución de tamaño por difracción láser, con la muestra dispersa en aire</t>
  </si>
  <si>
    <t xml:space="preserve">USP &lt;429&gt;</t>
  </si>
  <si>
    <t xml:space="preserve">Analizador de difracción láser con módulo seco</t>
  </si>
  <si>
    <t xml:space="preserve">No</t>
  </si>
  <si>
    <t xml:space="preserve">Tramo inferior de la distribución de la Tabla 3 (S15)</t>
  </si>
  <si>
    <t xml:space="preserve">Una o dos alícuotas en seco.</t>
  </si>
  <si>
    <t xml:space="preserve">M06</t>
  </si>
  <si>
    <t xml:space="preserve">Tamaño de partícula, vía húmeda</t>
  </si>
  <si>
    <t xml:space="preserve">La misma distribución, con la muestra dispersa en un líquido</t>
  </si>
  <si>
    <t xml:space="preserve">Analizador de difracción láser con módulo húmedo</t>
  </si>
  <si>
    <t xml:space="preserve">Tramo superior de la distribución de la Tabla 3 (S15)</t>
  </si>
  <si>
    <t xml:space="preserve">Dispersante, suspensión de la muestra y réplicas de medición.</t>
  </si>
  <si>
    <t xml:space="preserve">M07</t>
  </si>
  <si>
    <t xml:space="preserve">Agua por KF volumétrico</t>
  </si>
  <si>
    <t xml:space="preserve">Contenido de agua por titulación directa</t>
  </si>
  <si>
    <t xml:space="preserve">USP &lt;921&gt;, método Ia</t>
  </si>
  <si>
    <t xml:space="preserve">Titulador Karl Fischer volumétrico</t>
  </si>
  <si>
    <t xml:space="preserve">Verificación del título y muestra por triplicado.</t>
  </si>
  <si>
    <t xml:space="preserve">M08</t>
  </si>
  <si>
    <t xml:space="preserve">Agua por KF coulométrico con horno</t>
  </si>
  <si>
    <t xml:space="preserve">Agua en cantidades bajas, liberada en un horno y titulada por coulometría</t>
  </si>
  <si>
    <t xml:space="preserve">USP &lt;921&gt;, método Ic</t>
  </si>
  <si>
    <t xml:space="preserve">Titulador Karl Fischer coulométrico con horno</t>
  </si>
  <si>
    <t xml:space="preserve">alta</t>
  </si>
  <si>
    <t xml:space="preserve">Viales blanco, estándar de agua y muestra por triplicado.</t>
  </si>
  <si>
    <t xml:space="preserve">M09</t>
  </si>
  <si>
    <t xml:space="preserve">Punto de fusión</t>
  </si>
  <si>
    <t xml:space="preserve">Temperatura de fusión, para identificar el material</t>
  </si>
  <si>
    <t xml:space="preserve">USP &lt;891&gt;</t>
  </si>
  <si>
    <t xml:space="preserve">Calorímetro diferencial de barrido</t>
  </si>
  <si>
    <t xml:space="preserve">Una o dos cápsulas de muestra.</t>
  </si>
  <si>
    <t xml:space="preserve">M10</t>
  </si>
  <si>
    <t xml:space="preserve">Forma polimórfica y pureza</t>
  </si>
  <si>
    <t xml:space="preserve">Forma cristalina y pureza a partir del pico de fusión</t>
  </si>
  <si>
    <t xml:space="preserve">Verificación con indio y muestra por duplicado o triplicado.</t>
  </si>
  <si>
    <t xml:space="preserve">M11</t>
  </si>
  <si>
    <t xml:space="preserve">Identificación de la forma cristalina</t>
  </si>
  <si>
    <t xml:space="preserve">Patrón de difracción para confirmar la forma cristalina</t>
  </si>
  <si>
    <t xml:space="preserve">USP &lt;941&gt;</t>
  </si>
  <si>
    <t xml:space="preserve">Difractómetro de rayos X de polvo</t>
  </si>
  <si>
    <t xml:space="preserve">Estándar de la forma y muestra por duplicado.</t>
  </si>
  <si>
    <t xml:space="preserve">M12</t>
  </si>
  <si>
    <t xml:space="preserve">Cuantificación de fases</t>
  </si>
  <si>
    <t xml:space="preserve">Porcentaje de una forma no deseada o de material amorfo, con curva de calibración</t>
  </si>
  <si>
    <t xml:space="preserve">Mezclas de calibración y muestras.</t>
  </si>
  <si>
    <t xml:space="preserve">Calibración del catálogo con las fuentes</t>
  </si>
  <si>
    <t xml:space="preserve">Cómo se calculan las columnas de la hoja Catálogo. Azul = dato de la fuente · negro = fórmula · amarillo = supuesto que pueden cambiar.</t>
  </si>
  <si>
    <t xml:space="preserve">A. Regla de complejidad (supuestos S11, S12 y S13)</t>
  </si>
  <si>
    <t xml:space="preserve">Nivel</t>
  </si>
  <si>
    <t xml:space="preserve">Media de soluciones</t>
  </si>
  <si>
    <t xml:space="preserve">Multiplicador de reanálisis</t>
  </si>
  <si>
    <t xml:space="preserve">Júnior o superior</t>
  </si>
  <si>
    <t xml:space="preserve">Intermedio o superior</t>
  </si>
  <si>
    <t xml:space="preserve">Solo sénior</t>
  </si>
  <si>
    <t xml:space="preserve">Total / promedio ponderado</t>
  </si>
  <si>
    <t xml:space="preserve">Tasa base de reanálisis (S01)</t>
  </si>
  <si>
    <t xml:space="preserve">Viene de la hoja Supuestos (S01); se cambia allá.</t>
  </si>
  <si>
    <t xml:space="preserve">Factor de normalización</t>
  </si>
  <si>
    <t xml:space="preserve">Promedio de los multiplicadores ponderado por la demanda. Con él, el promedio ponderado de la columna H (celda H9) queda igual a S01.</t>
  </si>
  <si>
    <t xml:space="preserve">B. Participación de cada método: soluciones promedio implícitas en Costigliola et al. (2017, Tabla 3, p. 9016, y Tabla 6, p. 9019)</t>
  </si>
  <si>
    <t xml:space="preserve">Prep. del análisis, Tabla 6 (min)</t>
  </si>
  <si>
    <t xml:space="preserve">Prep. por solución, Tabla 3: mín</t>
  </si>
  <si>
    <t xml:space="preserve">moda</t>
  </si>
  <si>
    <t xml:space="preserve">máx</t>
  </si>
  <si>
    <t xml:space="preserve">Media triangular por solución (min)</t>
  </si>
  <si>
    <t xml:space="preserve">Soluciones promedio implícitas</t>
  </si>
  <si>
    <t xml:space="preserve">Método simple</t>
  </si>
  <si>
    <t xml:space="preserve">Media de soluciones (simple)</t>
  </si>
  <si>
    <t xml:space="preserve">Método exigente</t>
  </si>
  <si>
    <t xml:space="preserve">Media de soluciones (exigente)</t>
  </si>
  <si>
    <t xml:space="preserve">Participación del simple</t>
  </si>
  <si>
    <t xml:space="preserve">Participación del exigente</t>
  </si>
  <si>
    <t xml:space="preserve">Prep. reproducida (min)</t>
  </si>
  <si>
    <t xml:space="preserve">Diferencia con Tabla 6</t>
  </si>
  <si>
    <t xml:space="preserve">Prep. con BetaPERT estándar (min)</t>
  </si>
  <si>
    <t xml:space="preserve">Chequeo</t>
  </si>
  <si>
    <t xml:space="preserve">Soluciones promedio implícitas = prep. del análisis (Tabla 6) ÷ media triangular de la prep. por solución (Tabla 3), porque la fuente multiplica una por la otra (p. 9019). La participación del simple sale de igualar el promedio ponderado de los dos métodos a ese valor.</t>
  </si>
  <si>
    <t xml:space="preserve">C. Corrida de HPLC y GC: fija por método en la fuente y no publicada; se reparte el promedio de la Tabla 6 (supuestos S05 y S14)</t>
  </si>
  <si>
    <t xml:space="preserve">Corrida promedio, Tabla 6 (min)</t>
  </si>
  <si>
    <t xml:space="preserve">Relación exigente / simple</t>
  </si>
  <si>
    <t xml:space="preserve">Margen ± (S05)</t>
  </si>
  <si>
    <t xml:space="preserve">Moda del simple (min)</t>
  </si>
  <si>
    <t xml:space="preserve">Moda del exigente (min)</t>
  </si>
  <si>
    <t xml:space="preserve">Promedio ponderado (min)</t>
  </si>
  <si>
    <t xml:space="preserve">D. Corrida de PSA, KF, DSC y XRPD: la distribución de la Tabla 3 se reparte en dos tramos según la participación de cada método (supuesto S15)</t>
  </si>
  <si>
    <t xml:space="preserve">Distribución (Tabla 3)</t>
  </si>
  <si>
    <t xml:space="preserve">mín</t>
  </si>
  <si>
    <t xml:space="preserve">Participación del simple (cuantil de corte)</t>
  </si>
  <si>
    <t xml:space="preserve">Corte (min)</t>
  </si>
  <si>
    <t xml:space="preserve">Media del tramo simple (min)</t>
  </si>
  <si>
    <t xml:space="preserve">Media del tramo exigente (min)</t>
  </si>
  <si>
    <t xml:space="preserve">Media de la distribución (min)</t>
  </si>
  <si>
    <t xml:space="preserve">Diferencia</t>
  </si>
  <si>
    <t xml:space="preserve">Auxiliar: G(moda)</t>
  </si>
  <si>
    <t xml:space="preserve">Auxiliar: G(corte)</t>
  </si>
  <si>
    <t xml:space="preserve">Auxiliar: G(máx)</t>
  </si>
  <si>
    <t xml:space="preserve">T</t>
  </si>
  <si>
    <t xml:space="preserve">U</t>
  </si>
  <si>
    <t xml:space="preserve">G(x) es el momento parcial de la triangular entre el mínimo y x (integral de t·f(t)); la media de cada tramo es la diferencia de G entre sus extremos dividida por la probabilidad del tramo. En la uniforme (DSC) la media del tramo es su punto medio.</t>
  </si>
  <si>
    <t xml:space="preserve">Los cortes en minutos usan la distribución de la fuente (triangular o uniforme). Si el generador usa BetaPERT, se aplica el mismo cuantil sobre la BetaPERT.</t>
  </si>
  <si>
    <t xml:space="preserve">«Prep. con BetaPERT estándar» (bloque B) muestra cuánto bajaría la preparación promedio si el generador usa BetaPERT con λ = 4 en lugar de la triangular de la fuente (Léeme, Ojo 4).</t>
  </si>
  <si>
    <t xml:space="preserve">Tipos de muestra del laboratorio de referencia</t>
  </si>
  <si>
    <t xml:space="preserve">Una fila por tipo. Amarillo = decisión (proporción, llegadas, plazos y urgentes); la probabilidad de cada método dentro del tipo (columnas M01 a M12) se calcula en la hoja Calibración de tipos.</t>
  </si>
  <si>
    <t xml:space="preserve">Definiciones: WHO (2014, glosario, pp. 82–85). Llegadas: Costigliola et al. (2017, p. 9015) y supuesto S10. Plazos: Costigliola et al. (2017, p. 9018) y supuesto S06. Volumen: Tabla 4 de Costigliola et al. (2017) y ensayos por muestra de Cunha et al. (2019), en la hoja Demanda.</t>
  </si>
  <si>
    <t xml:space="preserve">Código</t>
  </si>
  <si>
    <t xml:space="preserve">Tipo de muestra</t>
  </si>
  <si>
    <t xml:space="preserve">Definición</t>
  </si>
  <si>
    <t xml:space="preserve">Proporción de muestras</t>
  </si>
  <si>
    <t xml:space="preserve">Días de llegada por semana</t>
  </si>
  <si>
    <t xml:space="preserve">Llegada desde (h)</t>
  </si>
  <si>
    <t xml:space="preserve">Llegada hasta (h)</t>
  </si>
  <si>
    <t xml:space="preserve">Forma de llegada</t>
  </si>
  <si>
    <t xml:space="preserve">Plazo</t>
  </si>
  <si>
    <t xml:space="preserve">Unidad del plazo</t>
  </si>
  <si>
    <t xml:space="preserve">Plazo en horas (aprox.)</t>
  </si>
  <si>
    <t xml:space="preserve">Prioridad</t>
  </si>
  <si>
    <t xml:space="preserve">Puede ser urgente</t>
  </si>
  <si>
    <t xml:space="preserve">Muestras al año</t>
  </si>
  <si>
    <t xml:space="preserve">Muestras por día de llegada</t>
  </si>
  <si>
    <t xml:space="preserve">Fuente o supuesto</t>
  </si>
  <si>
    <t xml:space="preserve">Materia prima</t>
  </si>
  <si>
    <t xml:space="preserve">Sustancia de calidad definida que se usa en la producción de un producto farmacéutico, excepto los materiales de empaque.</t>
  </si>
  <si>
    <t xml:space="preserve">Poisson</t>
  </si>
  <si>
    <t xml:space="preserve">días hábiles</t>
  </si>
  <si>
    <t xml:space="preserve">Definición: WHO (2014, p. 85). Baja prioridad: puede procesarse hasta una semana después (Costigliola et al., 2017, p. 9018).</t>
  </si>
  <si>
    <t xml:space="preserve">Intermedio (control en proceso)</t>
  </si>
  <si>
    <t xml:space="preserve">Producto parcialmente procesado que debe pasar por más etapas antes de ser granel; sus muestras son controles hechos durante la producción para vigilar y ajustar el proceso.</t>
  </si>
  <si>
    <t xml:space="preserve">Definiciones: WHO (2014, pp. 82–83). Se atiende las 24 h, los 7 días, y pasa unas 2 h en el sistema (Costigliola et al., 2017, pp. 9015 y 9018).</t>
  </si>
  <si>
    <t xml:space="preserve">Granel</t>
  </si>
  <si>
    <t xml:space="preserve">Producto que completó todas las etapas de procesamiento, sin incluir el empaque final.</t>
  </si>
  <si>
    <t xml:space="preserve">Definición: WHO (2014, p. 82). Plazo: supuesto S06.</t>
  </si>
  <si>
    <t xml:space="preserve">Producto terminado</t>
  </si>
  <si>
    <t xml:space="preserve">Forma farmacéutica que pasó por todas las etapas de fabricación, incluidos el empaque en su envase final y el etiquetado.</t>
  </si>
  <si>
    <t xml:space="preserve">Definición: WHO (2014, p. 82). Prioridad media: unas 31 h en el sistema en HPLC (Costigliola et al., 2017, Tabla 5, p. 9018).</t>
  </si>
  <si>
    <t xml:space="preserve">Estabilidad</t>
  </si>
  <si>
    <t xml:space="preserve">Muestras de lotes en estudio de estabilidad, retiradas de las cámaras en las fechas del protocolo.</t>
  </si>
  <si>
    <t xml:space="preserve">Programada (lote al inicio de la jornada)</t>
  </si>
  <si>
    <t xml:space="preserve">Retiro cada 3 meses el primer año, cada 6 meses el segundo y luego cada año (WHO, 2018, §2.1.6 y §2.2.6); se analiza de lunes a viernes (Costigliola et al., 2017, p. 9015).</t>
  </si>
  <si>
    <t xml:space="preserve">Calibración de los tipos de muestra</t>
  </si>
  <si>
    <t xml:space="preserve">Cómo se reparte cada método entre los tipos de muestra sin cambiar la mezcla de técnicas de Costigliola et al. (2017). Azul = dato · negro = fórmula · amarillo = supuesto.</t>
  </si>
  <si>
    <t xml:space="preserve">A. Datos de entrada: proporción objetivo de cada tipo (hoja Tipos de muestra) y métodos que aplican (hoja Catálogo, columnas MP a ES)</t>
  </si>
  <si>
    <t xml:space="preserve">Tipo / método</t>
  </si>
  <si>
    <t xml:space="preserve">Proporción objetivo</t>
  </si>
  <si>
    <t xml:space="preserve">Tipos en que aplica el método</t>
  </si>
  <si>
    <t xml:space="preserve">B. Ajuste proporcional iterativo (Deming y Stephan, 1940): w = peso de cada tipo; b = participación del método ÷ suma de los pesos de los tipos en que aplica; s = proporción que resulta para cada tipo</t>
  </si>
  <si>
    <t xml:space="preserve">Iteración</t>
  </si>
  <si>
    <t xml:space="preserve">w MP</t>
  </si>
  <si>
    <t xml:space="preserve">w IN</t>
  </si>
  <si>
    <t xml:space="preserve">w GR</t>
  </si>
  <si>
    <t xml:space="preserve">w PT</t>
  </si>
  <si>
    <t xml:space="preserve">w ES</t>
  </si>
  <si>
    <t xml:space="preserve">b M01</t>
  </si>
  <si>
    <t xml:space="preserve">b M02</t>
  </si>
  <si>
    <t xml:space="preserve">b M03</t>
  </si>
  <si>
    <t xml:space="preserve">b M04</t>
  </si>
  <si>
    <t xml:space="preserve">b M05</t>
  </si>
  <si>
    <t xml:space="preserve">b M06</t>
  </si>
  <si>
    <t xml:space="preserve">b M07</t>
  </si>
  <si>
    <t xml:space="preserve">b M08</t>
  </si>
  <si>
    <t xml:space="preserve">b M09</t>
  </si>
  <si>
    <t xml:space="preserve">b M10</t>
  </si>
  <si>
    <t xml:space="preserve">b M11</t>
  </si>
  <si>
    <t xml:space="preserve">b M12</t>
  </si>
  <si>
    <t xml:space="preserve">s MP</t>
  </si>
  <si>
    <t xml:space="preserve">s IN</t>
  </si>
  <si>
    <t xml:space="preserve">s GR</t>
  </si>
  <si>
    <t xml:space="preserve">s PT</t>
  </si>
  <si>
    <t xml:space="preserve">s ES</t>
  </si>
  <si>
    <t xml:space="preserve">Error (suma de diferencias)</t>
  </si>
  <si>
    <t xml:space="preserve">El ajuste parte de la matriz de aplicación (dentro de un método, todos los tipos en que aplica pesan igual) y alterna dos correcciones: que cada método conserve su participación y que cada tipo llegue a su proporción objetivo. Converge en unas 10 iteraciones; se calculan 25.</t>
  </si>
  <si>
    <t xml:space="preserve">C. Mezcla resultante: proporción del total de ensayos que corresponde a cada par tipo–método (última iteración)</t>
  </si>
  <si>
    <t xml:space="preserve">Proporción lograda</t>
  </si>
  <si>
    <t xml:space="preserve">Objetivo</t>
  </si>
  <si>
    <t xml:space="preserve">Suma por método</t>
  </si>
  <si>
    <t xml:space="preserve">Participación en el catálogo</t>
  </si>
  <si>
    <t xml:space="preserve">Probabilidad de cada método dentro de cada tipo de muestra (la usa el generador; pasa a las columnas M01 a M12 de la hoja Tipos de muestra)</t>
  </si>
  <si>
    <t xml:space="preserve">Suma</t>
  </si>
  <si>
    <t xml:space="preserve">D. Mezcla de técnicas dentro de cada tipo de muestra</t>
  </si>
  <si>
    <t xml:space="preserve">E. Chequeos</t>
  </si>
  <si>
    <t xml:space="preserve">Suma de las proporciones objetivo</t>
  </si>
  <si>
    <t xml:space="preserve">Error del ajuste en la iteración 25</t>
  </si>
  <si>
    <t xml:space="preserve">Mayor diferencia en la participación de un método</t>
  </si>
  <si>
    <t xml:space="preserve">Métodos que no aplican a ningún tipo</t>
  </si>
  <si>
    <t xml:space="preserve">Muestras por día hábil (escenario base)</t>
  </si>
  <si>
    <t xml:space="preserve">Ensayos por día hábil (escenario base)</t>
  </si>
  <si>
    <t xml:space="preserve">Muestras por día de fin de semana (solo control en proceso)</t>
  </si>
  <si>
    <t xml:space="preserve">Una fila por configuración. Amarillo = decisión (cantidad y métodos que corre cada configuración); las horas, la sugerencia proporcional y la utilización se calculan.</t>
  </si>
  <si>
    <t xml:space="preserve">Total de 70 equipos de 6 tipos (Costigliola et al., 2017, p. 9015); al menos 22 HPLC (Fig. 5, p. 9018). Reparto: supuesto S21. Compatibilidad: supuesto S22. Utilización = horas de montaje y corrida ÷ horas del año (24 h × 365 días), sin la idoneidad del sistema.</t>
  </si>
  <si>
    <t xml:space="preserve">Configuración</t>
  </si>
  <si>
    <t xml:space="preserve">Equipos</t>
  </si>
  <si>
    <t xml:space="preserve">Horas de equipo al año (base)</t>
  </si>
  <si>
    <t xml:space="preserve">Proporcional (sin mínimo)</t>
  </si>
  <si>
    <t xml:space="preserve">Sugerencia (mínimo 2)</t>
  </si>
  <si>
    <t xml:space="preserve">Diferencia con la sugerencia</t>
  </si>
  <si>
    <t xml:space="preserve">Utilización (base)</t>
  </si>
  <si>
    <t xml:space="preserve">Utilización (carga alta)</t>
  </si>
  <si>
    <t xml:space="preserve">HPLC-G</t>
  </si>
  <si>
    <t xml:space="preserve">HPLC con gradiente y detector UV/DAD</t>
  </si>
  <si>
    <t xml:space="preserve">Costigliola et al. (2017, p. 9015); reparto S21; compatibilidad S22.</t>
  </si>
  <si>
    <t xml:space="preserve">HPLC-I</t>
  </si>
  <si>
    <t xml:space="preserve">HPLC isocrático con detector UV</t>
  </si>
  <si>
    <t xml:space="preserve">GC-L</t>
  </si>
  <si>
    <t xml:space="preserve">GC con inyección líquida y FID</t>
  </si>
  <si>
    <t xml:space="preserve">GC-H</t>
  </si>
  <si>
    <t xml:space="preserve">GC con espacio de cabeza y FID</t>
  </si>
  <si>
    <t xml:space="preserve">PSA-S</t>
  </si>
  <si>
    <t xml:space="preserve">Difracción láser, módulo seco</t>
  </si>
  <si>
    <t xml:space="preserve">PSA-H</t>
  </si>
  <si>
    <t xml:space="preserve">Difracción láser, módulo húmedo</t>
  </si>
  <si>
    <t xml:space="preserve">KF-V</t>
  </si>
  <si>
    <t xml:space="preserve">Titulador KF volumétrico</t>
  </si>
  <si>
    <t xml:space="preserve">KF-C</t>
  </si>
  <si>
    <t xml:space="preserve">Titulador KF coulométrico con horno</t>
  </si>
  <si>
    <t xml:space="preserve">Analistas del laboratorio de referencia</t>
  </si>
  <si>
    <t xml:space="preserve">Una fila por analista. Amarillo = decisión (nivel y área); la matriz de calificación (columnas M01 a M12, 1 = calificado) se calcula con la regla de la hoja Calibración de recursos.</t>
  </si>
  <si>
    <t xml:space="preserve">20 analistas en 3 turnos: 6 en el turno 1, 4 en el turno 2 y 10 en el turno 3 (Costigliola et al., 2017, Tabla 1, p. 9015). Nivel: supuesto S19. Área: supuesto S20. Calificado = nivel ≥ nivel mínimo del método (S12) y técnica dentro del área del analista.</t>
  </si>
  <si>
    <t xml:space="preserve">Turno</t>
  </si>
  <si>
    <t xml:space="preserve">Área</t>
  </si>
  <si>
    <t xml:space="preserve">Factor de duración</t>
  </si>
  <si>
    <t xml:space="preserve">Métodos calificados</t>
  </si>
  <si>
    <t xml:space="preserve">A01</t>
  </si>
  <si>
    <t xml:space="preserve">T1</t>
  </si>
  <si>
    <t xml:space="preserve">sénior</t>
  </si>
  <si>
    <t xml:space="preserve">Todas</t>
  </si>
  <si>
    <t xml:space="preserve">Turno: Tabla 1 de Costigliola et al. (2017). Nivel: S19. Área: S20.</t>
  </si>
  <si>
    <t xml:space="preserve">A02</t>
  </si>
  <si>
    <t xml:space="preserve">A03</t>
  </si>
  <si>
    <t xml:space="preserve">intermedio</t>
  </si>
  <si>
    <t xml:space="preserve">A04</t>
  </si>
  <si>
    <t xml:space="preserve">A05</t>
  </si>
  <si>
    <t xml:space="preserve">A06</t>
  </si>
  <si>
    <t xml:space="preserve">A07</t>
  </si>
  <si>
    <t xml:space="preserve">T2</t>
  </si>
  <si>
    <t xml:space="preserve">Cromatografía</t>
  </si>
  <si>
    <t xml:space="preserve">A08</t>
  </si>
  <si>
    <t xml:space="preserve">A09</t>
  </si>
  <si>
    <t xml:space="preserve">Fisicoquímica</t>
  </si>
  <si>
    <t xml:space="preserve">A10</t>
  </si>
  <si>
    <t xml:space="preserve">júnior</t>
  </si>
  <si>
    <t xml:space="preserve">A11</t>
  </si>
  <si>
    <t xml:space="preserve">T3</t>
  </si>
  <si>
    <t xml:space="preserve">A12</t>
  </si>
  <si>
    <t xml:space="preserve">A13</t>
  </si>
  <si>
    <t xml:space="preserve">A14</t>
  </si>
  <si>
    <t xml:space="preserve">A15</t>
  </si>
  <si>
    <t xml:space="preserve">A16</t>
  </si>
  <si>
    <t xml:space="preserve">A17</t>
  </si>
  <si>
    <t xml:space="preserve">A18</t>
  </si>
  <si>
    <t xml:space="preserve">A19</t>
  </si>
  <si>
    <t xml:space="preserve">A20</t>
  </si>
  <si>
    <t xml:space="preserve">Calibración de equipos y analistas</t>
  </si>
  <si>
    <t xml:space="preserve">Horas de equipo por método, datos de la fuente, regla de la matriz de calificación, cobertura de cada método e indicadores. Azul = dato · negro = fórmula · amarillo = supuesto.</t>
  </si>
  <si>
    <t xml:space="preserve">A. Horas de equipo por método en el escenario base: ensayos al año × (montaje medio + corrida media) ÷ 60</t>
  </si>
  <si>
    <t xml:space="preserve">Método</t>
  </si>
  <si>
    <t xml:space="preserve">Configuración principal</t>
  </si>
  <si>
    <t xml:space="preserve">Ensayos al año</t>
  </si>
  <si>
    <t xml:space="preserve">Montaje medio (min)</t>
  </si>
  <si>
    <t xml:space="preserve">Corrida media (min)</t>
  </si>
  <si>
    <t xml:space="preserve">Horas de equipo al año</t>
  </si>
  <si>
    <t xml:space="preserve">Montaje medio = media de la distribución de la Tabla 3 de Costigliola et al. (2017) (uniforme en PSA, triangular en las demás). La idoneidad del sistema no se suma: su frecuencia depende de la programación y se mide en la simulación.</t>
  </si>
  <si>
    <t xml:space="preserve">B. Datos de la fuente que se usan en los chequeos</t>
  </si>
  <si>
    <t xml:space="preserve">Equipos del laboratorio</t>
  </si>
  <si>
    <t xml:space="preserve">Costigliola et al. (2017, p. 9015)</t>
  </si>
  <si>
    <t xml:space="preserve">HPLC (mínimo)</t>
  </si>
  <si>
    <t xml:space="preserve">Costigliola et al. (2017, Fig. 5, p. 9018): equipos numerados hasta HPLC22</t>
  </si>
  <si>
    <t xml:space="preserve">Analistas del turno 1</t>
  </si>
  <si>
    <t xml:space="preserve">Costigliola et al. (2017, Tabla 1 y p. 9015)</t>
  </si>
  <si>
    <t xml:space="preserve">Analistas del turno 2</t>
  </si>
  <si>
    <t xml:space="preserve">Analistas del turno 3</t>
  </si>
  <si>
    <t xml:space="preserve">C. Niveles de experiencia (supuestos S07 y S19)</t>
  </si>
  <si>
    <t xml:space="preserve">Rango</t>
  </si>
  <si>
    <t xml:space="preserve">Proporción</t>
  </si>
  <si>
    <t xml:space="preserve">D. Técnicas de cada área de trabajo (supuesto S20): 1 = el área incluye la técnica</t>
  </si>
  <si>
    <t xml:space="preserve">E. Datos de cada método que usa la regla de calificación</t>
  </si>
  <si>
    <t xml:space="preserve">Dato</t>
  </si>
  <si>
    <t xml:space="preserve">Nivel mínimo (1 júnior, 2 intermedio, 3 sénior)</t>
  </si>
  <si>
    <t xml:space="preserve">Aplica a control en proceso (1 = sí)</t>
  </si>
  <si>
    <t xml:space="preserve">F. Cobertura de cada método: analistas calificados, equipos compatibles y combinaciones factibles</t>
  </si>
  <si>
    <t xml:space="preserve">Indicador</t>
  </si>
  <si>
    <t xml:space="preserve">Analistas calificados</t>
  </si>
  <si>
    <t xml:space="preserve">… del turno 1</t>
  </si>
  <si>
    <t xml:space="preserve">… del turno 2</t>
  </si>
  <si>
    <t xml:space="preserve">… del turno 3</t>
  </si>
  <si>
    <t xml:space="preserve">Equipos compatibles</t>
  </si>
  <si>
    <t xml:space="preserve">Combinaciones analista–equipo</t>
  </si>
  <si>
    <t xml:space="preserve">Chequeo (≥ 2 analistas y ≥ 1 equipo)</t>
  </si>
  <si>
    <t xml:space="preserve">Turno 1 completo en control en proceso</t>
  </si>
  <si>
    <t xml:space="preserve">G. Indicadores y chequeos</t>
  </si>
  <si>
    <t xml:space="preserve">Chequeo o referencia</t>
  </si>
  <si>
    <t xml:space="preserve">Equipos en total</t>
  </si>
  <si>
    <t xml:space="preserve">HPLC en total</t>
  </si>
  <si>
    <t xml:space="preserve">Configuraciones con menos de 2 equipos</t>
  </si>
  <si>
    <t xml:space="preserve">Analistas en total</t>
  </si>
  <si>
    <t xml:space="preserve">Analistas por turno (T1, T2, T3)</t>
  </si>
  <si>
    <t xml:space="preserve">Métodos con cobertura completa</t>
  </si>
  <si>
    <t xml:space="preserve">Métodos de control en proceso con el turno 1 completo</t>
  </si>
  <si>
    <t xml:space="preserve">Densidad de la matriz de calificación</t>
  </si>
  <si>
    <t xml:space="preserve">Analistas calificados por método (promedio)</t>
  </si>
  <si>
    <t xml:space="preserve">Utilización máxima de una configuración (base)</t>
  </si>
  <si>
    <t xml:space="preserve">Utilización máxima de una configuración (carga alta)</t>
  </si>
  <si>
    <t xml:space="preserve">Códigos de turno del laboratorio de referencia</t>
  </si>
  <si>
    <t xml:space="preserve">Una fila por código. Horario de Costigliola et al. (2017, Tabla 1, p. 9015); las pausas son el supuesto S24 (amarillo). La hoja Rotación usa estos códigos.</t>
  </si>
  <si>
    <t xml:space="preserve">Descripción</t>
  </si>
  <si>
    <t xml:space="preserve">Inicio (h)</t>
  </si>
  <si>
    <t xml:space="preserve">Fin (h)</t>
  </si>
  <si>
    <t xml:space="preserve">Pausa desde (h)</t>
  </si>
  <si>
    <t xml:space="preserve">Pausa hasta (h)</t>
  </si>
  <si>
    <t xml:space="preserve">Horas efectivas</t>
  </si>
  <si>
    <t xml:space="preserve">Días</t>
  </si>
  <si>
    <t xml:space="preserve">D</t>
  </si>
  <si>
    <t xml:space="preserve">Turno 1, día</t>
  </si>
  <si>
    <t xml:space="preserve">Todos los días, según la rotación</t>
  </si>
  <si>
    <t xml:space="preserve">Horario: Costigliola et al. (2017, Tabla 1). Pausa: S24.</t>
  </si>
  <si>
    <t xml:space="preserve">N</t>
  </si>
  <si>
    <t xml:space="preserve">Turno 1, noche (termina al día siguiente)</t>
  </si>
  <si>
    <t xml:space="preserve">M2</t>
  </si>
  <si>
    <t xml:space="preserve">Turno 2, mañana</t>
  </si>
  <si>
    <t xml:space="preserve">Lunes a viernes, semanas alternas</t>
  </si>
  <si>
    <t xml:space="preserve">Turno 2, tarde</t>
  </si>
  <si>
    <t xml:space="preserve">M3a</t>
  </si>
  <si>
    <t xml:space="preserve">Turno 3, almuerzo a las 12:00</t>
  </si>
  <si>
    <t xml:space="preserve">Lunes a viernes</t>
  </si>
  <si>
    <t xml:space="preserve">M3b</t>
  </si>
  <si>
    <t xml:space="preserve">Turno 3, almuerzo a las 13:00</t>
  </si>
  <si>
    <t xml:space="preserve">L</t>
  </si>
  <si>
    <t xml:space="preserve">Libre</t>
  </si>
  <si>
    <t xml:space="preserve">Rotación de los analistas (ciclo de 42 días)</t>
  </si>
  <si>
    <t xml:space="preserve">Código de turno de cada analista cada día; el día 1 es lunes y el ciclo se repite. Se calcula con el turno de la hoja Analistas y el desfase y el grupo de almuerzo de la hoja Calibración de turnos.</t>
  </si>
  <si>
    <t xml:space="preserve">Códigos: D día y N noche del turno 1 (12 h); M2 mañana y T2 tarde del turno 2; M3a y M3b turno 3 con almuerzo a las 12:00 o a las 13:00; L libre (hoja Turnos).</t>
  </si>
  <si>
    <t xml:space="preserve">Día</t>
  </si>
  <si>
    <t xml:space="preserve">Día de la semana</t>
  </si>
  <si>
    <t xml:space="preserve">Ventanas de mantenimiento, verificación y fallas por configuración</t>
  </si>
  <si>
    <t xml:space="preserve">Amarillo = decisión (frecuencia y duración de las ventanas, supuesto S26). Las fallas no planificadas usan S02 y la reparación de la hoja Calibración de turnos.</t>
  </si>
  <si>
    <t xml:space="preserve">Regla de calendario: cada equipo tiene una ventana por trimestre, en el día hábil número ENTERO((k + 0,5) × 65 ÷ n) + 1 del trimestre (k = 0 … n − 1 dentro de su configuración), desde las 8:00; en el trimestre k mod 4 es el mantenimiento preventivo con recalificación y en los otros tres, la verificación. Así dos equipos de la misma configuración nunca coinciden.</t>
  </si>
  <si>
    <t xml:space="preserve">Mantenimientos preventivos al año</t>
  </si>
  <si>
    <t xml:space="preserve">Duración del mantenimiento (h)</t>
  </si>
  <si>
    <t xml:space="preserve">Verificaciones al año</t>
  </si>
  <si>
    <t xml:space="preserve">Duración de la verificación (h)</t>
  </si>
  <si>
    <t xml:space="preserve">Horas planificadas por equipo al año</t>
  </si>
  <si>
    <t xml:space="preserve">Fracción del año (plan)</t>
  </si>
  <si>
    <t xml:space="preserve">Separación entre equipos (días hábiles)</t>
  </si>
  <si>
    <t xml:space="preserve">Fracción del año (fallas, S02)</t>
  </si>
  <si>
    <t xml:space="preserve">Disponibilidad esperada</t>
  </si>
  <si>
    <t xml:space="preserve">Plan: WHO (2024, s. 5.33–5.35) y EDQM (2025); frecuencia y duración: S26. Fallas: S02.</t>
  </si>
  <si>
    <t xml:space="preserve">Calibración de turnos, mantenimiento y fallas</t>
  </si>
  <si>
    <t xml:space="preserve">Parámetros de rotación por analista, horas por semana, analistas en turno por franja, fallas y chequeos. Azul = dato · negro = fórmula · amarillo = supuesto.</t>
  </si>
  <si>
    <t xml:space="preserve">A. Parámetros de rotación de cada analista (supuestos S23 y S24): desfase en días (turno 1) o en semanas (turno 2); grupo de almuerzo del turno 3</t>
  </si>
  <si>
    <t xml:space="preserve">Analista</t>
  </si>
  <si>
    <t xml:space="preserve">Patrón</t>
  </si>
  <si>
    <t xml:space="preserve">Desfase</t>
  </si>
  <si>
    <t xml:space="preserve">Grupo de almuerzo (h)</t>
  </si>
  <si>
    <t xml:space="preserve">B. Horas de trabajo por semana de cada analista (promedio del ciclo de 42 días)</t>
  </si>
  <si>
    <t xml:space="preserve">Horas efectivas por semana</t>
  </si>
  <si>
    <t xml:space="preserve">Horas según la Tabla 1 (sin pausas)</t>
  </si>
  <si>
    <t xml:space="preserve">Horas según la Tabla 1: turno 1 = 2 analistas × 24 h × 7 días ÷ 6 analistas; turno 2 = promedio de 9 h (mañana) y 7 h (tarde) × 5 días; turno 3 = 9 h × 5 días. La diferencia con las horas efectivas es el almuerzo (S24).</t>
  </si>
  <si>
    <t xml:space="preserve">C. Analistas en turno por franja horaria: 1 = el código cubre la franja (sin la pausa); el turno de noche cubre de 20:00 a 24:00 y, al día siguiente, de 0:00 a 8:00</t>
  </si>
  <si>
    <t xml:space="preserve">0–8</t>
  </si>
  <si>
    <t xml:space="preserve">8–12</t>
  </si>
  <si>
    <t xml:space="preserve">12–13</t>
  </si>
  <si>
    <t xml:space="preserve">13–14</t>
  </si>
  <si>
    <t xml:space="preserve">14–17</t>
  </si>
  <si>
    <t xml:space="preserve">17–20</t>
  </si>
  <si>
    <t xml:space="preserve">20–24</t>
  </si>
  <si>
    <t xml:space="preserve">Analistas el lunes (día 1)</t>
  </si>
  <si>
    <t xml:space="preserve">Analistas el sábado (día 6)</t>
  </si>
  <si>
    <t xml:space="preserve">Inicio de la franja (h)</t>
  </si>
  <si>
    <t xml:space="preserve">Fin de la franja (h)</t>
  </si>
  <si>
    <t xml:space="preserve">Analistas en turno, día hábil</t>
  </si>
  <si>
    <t xml:space="preserve">Analistas en turno, fin de semana</t>
  </si>
  <si>
    <t xml:space="preserve">Horas-analista por semana (con almuerzo)</t>
  </si>
  <si>
    <t xml:space="preserve">D. Fallas no planificadas (supuesto S02): reparación triangular y tiempo entre fallas exponencial</t>
  </si>
  <si>
    <t xml:space="preserve">Fracción del tiempo fuera de servicio por fallas (S02)</t>
  </si>
  <si>
    <t xml:space="preserve">Reparación: mínimo (h)</t>
  </si>
  <si>
    <t xml:space="preserve">Reparación: moda (h)</t>
  </si>
  <si>
    <t xml:space="preserve">Reparación: máximo (h)</t>
  </si>
  <si>
    <t xml:space="preserve">Reparación media (h)</t>
  </si>
  <si>
    <t xml:space="preserve">Tiempo medio entre fallas (h)</t>
  </si>
  <si>
    <t xml:space="preserve">Fallas por equipo al año</t>
  </si>
  <si>
    <t xml:space="preserve">Fallas al año en todo el laboratorio</t>
  </si>
  <si>
    <t xml:space="preserve">F. Chequeos</t>
  </si>
  <si>
    <t xml:space="preserve">Días del ciclo con el turno 1 completo (2 de día y 2 de noche)</t>
  </si>
  <si>
    <t xml:space="preserve">Horas por semana de cada analista del turno 1</t>
  </si>
  <si>
    <t xml:space="preserve">Horas-analista por semana, según la rotación</t>
  </si>
  <si>
    <t xml:space="preserve">Horas-analista por semana según la Tabla 1 (sin pausas)</t>
  </si>
  <si>
    <t xml:space="preserve">Mayor fracción del año en mantenimiento planificado</t>
  </si>
  <si>
    <t xml:space="preserve">Menor disponibilidad esperada de una configuración</t>
  </si>
  <si>
    <t xml:space="preserve">Configuraciones con más equipos que días hábiles por trimestre</t>
  </si>
  <si>
    <t xml:space="preserve">E. Analistas con cada código, día por día (chequeo de la rotación)</t>
  </si>
  <si>
    <t xml:space="preserve">M3a + M3b</t>
  </si>
  <si>
    <t xml:space="preserve">Diccionario de datos del registro</t>
  </si>
  <si>
    <t xml:space="preserve">Un registro = una ejecución de un ensayo sobre una muestra (docs/Diccionario_de_datos.docx, secciones 1 y 2). Las reglas están en src/generador/registro.py; las tablas del documento salen de esta hoja.</t>
  </si>
  <si>
    <t xml:space="preserve">N.º</t>
  </si>
  <si>
    <t xml:space="preserve">Campo</t>
  </si>
  <si>
    <t xml:space="preserve">Valores o rango</t>
  </si>
  <si>
    <t xml:space="preserve">Se conoce</t>
  </si>
  <si>
    <t xml:space="preserve">Rol en el O2</t>
  </si>
  <si>
    <t xml:space="preserve">Regla de validación</t>
  </si>
  <si>
    <t xml:space="preserve">Indicadores</t>
  </si>
  <si>
    <t xml:space="preserve">escenario</t>
  </si>
  <si>
    <t xml:space="preserve">Escenario de carga de la corrida.</t>
  </si>
  <si>
    <t xml:space="preserve">categoría</t>
  </si>
  <si>
    <t xml:space="preserve">baja · base · alta</t>
  </si>
  <si>
    <t xml:space="preserve">Antes de la corrida</t>
  </si>
  <si>
    <t xml:space="preserve">Estrato</t>
  </si>
  <si>
    <t xml:space="preserve">Hoja Demanda; escenarios.py</t>
  </si>
  <si>
    <t xml:space="preserve">corrida_coherente</t>
  </si>
  <si>
    <t xml:space="preserve">T5, C4</t>
  </si>
  <si>
    <t xml:space="preserve">carga</t>
  </si>
  <si>
    <t xml:space="preserve">Multiplicador de la demanda del escenario.</t>
  </si>
  <si>
    <t xml:space="preserve">real</t>
  </si>
  <si>
    <t xml:space="preserve">0,7 · 1,0 · 1,5</t>
  </si>
  <si>
    <t xml:space="preserve">Hoja Demanda</t>
  </si>
  <si>
    <t xml:space="preserve">semilla</t>
  </si>
  <si>
    <t xml:space="preserve">Semilla de números aleatorios de la corrida.</t>
  </si>
  <si>
    <t xml:space="preserve">entero</t>
  </si>
  <si>
    <t xml:space="preserve">Entero mayor o igual que 0</t>
  </si>
  <si>
    <t xml:space="preserve">Identificador</t>
  </si>
  <si>
    <t xml:space="preserve">escenarios.py</t>
  </si>
  <si>
    <t xml:space="preserve">campos_completos</t>
  </si>
  <si>
    <t xml:space="preserve">V3</t>
  </si>
  <si>
    <t xml:space="preserve">Identificación</t>
  </si>
  <si>
    <t xml:space="preserve">id_actividad</t>
  </si>
  <si>
    <t xml:space="preserve">Muestra, método e intento, por ejemplo PT-000123-M02-1.</t>
  </si>
  <si>
    <t xml:space="preserve">texto</t>
  </si>
  <si>
    <t xml:space="preserve">No se repite en la corrida</t>
  </si>
  <si>
    <t xml:space="preserve">Al llegar</t>
  </si>
  <si>
    <t xml:space="preserve">Diccionario, sección 1</t>
  </si>
  <si>
    <t xml:space="preserve">id_coherente</t>
  </si>
  <si>
    <t xml:space="preserve">id_muestra</t>
  </si>
  <si>
    <t xml:space="preserve">Tipo de muestra y número consecutivo dentro de la corrida.</t>
  </si>
  <si>
    <t xml:space="preserve">Tipo y seis dígitos, por ejemplo PT-000123</t>
  </si>
  <si>
    <t xml:space="preserve">muestra_coherente</t>
  </si>
  <si>
    <t xml:space="preserve">metodo</t>
  </si>
  <si>
    <t xml:space="preserve">Método del catálogo.</t>
  </si>
  <si>
    <t xml:space="preserve">M01 a M12</t>
  </si>
  <si>
    <t xml:space="preserve">Predictor</t>
  </si>
  <si>
    <t xml:space="preserve">Hoja Catálogo</t>
  </si>
  <si>
    <t xml:space="preserve">valores_validos</t>
  </si>
  <si>
    <t xml:space="preserve">C1, H2, M2, T5</t>
  </si>
  <si>
    <t xml:space="preserve">intento</t>
  </si>
  <si>
    <t xml:space="preserve">1 en la ejecución original; 2, 3… en las repeticiones.</t>
  </si>
  <si>
    <t xml:space="preserve">Entero mayor o igual que 1</t>
  </si>
  <si>
    <t xml:space="preserve">Diccionario, sección 1; S27</t>
  </si>
  <si>
    <t xml:space="preserve">repeticion_enlazada</t>
  </si>
  <si>
    <t xml:space="preserve">id_actividad_origen</t>
  </si>
  <si>
    <t xml:space="preserve">Ejecución que se repite; vacío si el intento es 1.</t>
  </si>
  <si>
    <t xml:space="preserve">id_actividad del intento anterior</t>
  </si>
  <si>
    <t xml:space="preserve">causa_repeticion</t>
  </si>
  <si>
    <t xml:space="preserve">Por qué se repite la ejecución; vacío si el intento es 1.</t>
  </si>
  <si>
    <t xml:space="preserve">reanálisis · falla de equipo</t>
  </si>
  <si>
    <t xml:space="preserve">S27</t>
  </si>
  <si>
    <t xml:space="preserve">M4, V3</t>
  </si>
  <si>
    <t xml:space="preserve">resultado</t>
  </si>
  <si>
    <t xml:space="preserve">Cómo terminó la ejecución.</t>
  </si>
  <si>
    <t xml:space="preserve">cumple · fuera de especificación · interrumpido</t>
  </si>
  <si>
    <t xml:space="preserve">Al terminar</t>
  </si>
  <si>
    <t xml:space="preserve">O3 y validación</t>
  </si>
  <si>
    <t xml:space="preserve">S01 y S02</t>
  </si>
  <si>
    <t xml:space="preserve">Muestra</t>
  </si>
  <si>
    <t xml:space="preserve">tipo_muestra</t>
  </si>
  <si>
    <t xml:space="preserve">Tipo de la muestra.</t>
  </si>
  <si>
    <t xml:space="preserve">MP · IN · GR · PT · ES</t>
  </si>
  <si>
    <t xml:space="preserve">Hoja Tipos de muestra</t>
  </si>
  <si>
    <t xml:space="preserve">prioridad</t>
  </si>
  <si>
    <t xml:space="preserve">Prioridad de la muestra; 1 es la más alta.</t>
  </si>
  <si>
    <t xml:space="preserve">1 a 5; 1 si la muestra es urgente</t>
  </si>
  <si>
    <t xml:space="preserve">Hoja Tipos de muestra; S03</t>
  </si>
  <si>
    <t xml:space="preserve">muestra_y_plazo</t>
  </si>
  <si>
    <t xml:space="preserve">llegada_muestra</t>
  </si>
  <si>
    <t xml:space="preserve">Momento en que llega la muestra.</t>
  </si>
  <si>
    <t xml:space="preserve">Minutos desde el lunes a las 0:00 en que empieza la corrida</t>
  </si>
  <si>
    <t xml:space="preserve">S10</t>
  </si>
  <si>
    <t xml:space="preserve">tiempos_coherentes</t>
  </si>
  <si>
    <t xml:space="preserve">plazo_min</t>
  </si>
  <si>
    <t xml:space="preserve">Tiempo entre la llegada de la muestra y su vencimiento.</t>
  </si>
  <si>
    <t xml:space="preserve">240 en control en proceso y urgentes; en los demás, los días hábiles del tipo</t>
  </si>
  <si>
    <t xml:space="preserve">S06 y S03</t>
  </si>
  <si>
    <t xml:space="preserve">vencimiento</t>
  </si>
  <si>
    <t xml:space="preserve">Momento en que vence la muestra: llegada_muestra + plazo_min.</t>
  </si>
  <si>
    <t xml:space="preserve">Mayor que llegada_muestra</t>
  </si>
  <si>
    <t xml:space="preserve">S06</t>
  </si>
  <si>
    <t xml:space="preserve">tecnica</t>
  </si>
  <si>
    <t xml:space="preserve">Técnica del método.</t>
  </si>
  <si>
    <t xml:space="preserve">HPLC · GC · PSA · KF · DSC · XRPD</t>
  </si>
  <si>
    <t xml:space="preserve">ensayo_coherente</t>
  </si>
  <si>
    <t xml:space="preserve">T5, V1</t>
  </si>
  <si>
    <t xml:space="preserve">complejidad</t>
  </si>
  <si>
    <t xml:space="preserve">Complejidad del método.</t>
  </si>
  <si>
    <t xml:space="preserve">baja · media · alta</t>
  </si>
  <si>
    <t xml:space="preserve">Hoja Catálogo; S11</t>
  </si>
  <si>
    <t xml:space="preserve">H2, V2</t>
  </si>
  <si>
    <t xml:space="preserve">n_soluciones</t>
  </si>
  <si>
    <t xml:space="preserve">Soluciones que hay que preparar, sorteadas en el rango de la complejidad del método.</t>
  </si>
  <si>
    <t xml:space="preserve">1–2, 3–4 o 5–6</t>
  </si>
  <si>
    <t xml:space="preserve">S08</t>
  </si>
  <si>
    <t xml:space="preserve">V2</t>
  </si>
  <si>
    <t xml:space="preserve">calificacion_exigida</t>
  </si>
  <si>
    <t xml:space="preserve">Nivel mínimo que debe tener el analista.</t>
  </si>
  <si>
    <t xml:space="preserve">júnior · intermedio · sénior</t>
  </si>
  <si>
    <t xml:space="preserve">S12</t>
  </si>
  <si>
    <t xml:space="preserve">H2</t>
  </si>
  <si>
    <t xml:space="preserve">equipo_requerido</t>
  </si>
  <si>
    <t xml:space="preserve">Configuraciones de equipo compatibles con el método.</t>
  </si>
  <si>
    <t xml:space="preserve">Códigos de la hoja Equipos separados por «|»</t>
  </si>
  <si>
    <t xml:space="preserve">Hoja Equipos; S22</t>
  </si>
  <si>
    <t xml:space="preserve">M2, C1</t>
  </si>
  <si>
    <t xml:space="preserve">Tiempos de tres puntos</t>
  </si>
  <si>
    <t xml:space="preserve">t_optimista</t>
  </si>
  <si>
    <t xml:space="preserve">Tiempo de ejecución con el mínimo de cada tarea, para un analista intermedio.</t>
  </si>
  <si>
    <t xml:space="preserve">Mayor que 0</t>
  </si>
  <si>
    <t xml:space="preserve">Al asignar</t>
  </si>
  <si>
    <t xml:space="preserve">Hojas Duraciones y Catálogo</t>
  </si>
  <si>
    <t xml:space="preserve">tres_puntos_ordenados</t>
  </si>
  <si>
    <t xml:space="preserve">t_mas_probable</t>
  </si>
  <si>
    <t xml:space="preserve">Tiempo de ejecución con la moda de cada tarea, para un analista intermedio.</t>
  </si>
  <si>
    <t xml:space="preserve">Entre t_optimista y t_pesimista</t>
  </si>
  <si>
    <t xml:space="preserve">t_pesimista</t>
  </si>
  <si>
    <t xml:space="preserve">Tiempo de ejecución con el máximo de cada tarea, para un analista intermedio.</t>
  </si>
  <si>
    <t xml:space="preserve">Mayor o igual que t_mas_probable</t>
  </si>
  <si>
    <t xml:space="preserve">Asignación</t>
  </si>
  <si>
    <t xml:space="preserve">analista</t>
  </si>
  <si>
    <t xml:space="preserve">Analista que hace todas las tareas del registro.</t>
  </si>
  <si>
    <t xml:space="preserve">A01 a A20, calificado en el método</t>
  </si>
  <si>
    <t xml:space="preserve">Hoja Analistas; Martins et al. (2023, p. 183)</t>
  </si>
  <si>
    <t xml:space="preserve">asignacion_coherente</t>
  </si>
  <si>
    <t xml:space="preserve">H2, H3, H4</t>
  </si>
  <si>
    <t xml:space="preserve">nivel_analista</t>
  </si>
  <si>
    <t xml:space="preserve">Nivel del analista asignado; fija el factor de sus tareas.</t>
  </si>
  <si>
    <t xml:space="preserve">júnior · intermedio · sénior; no menor que calificacion_exigida</t>
  </si>
  <si>
    <t xml:space="preserve">Hoja Analistas; S07 y S19</t>
  </si>
  <si>
    <t xml:space="preserve">equipo</t>
  </si>
  <si>
    <t xml:space="preserve">Unidad de equipo asignada.</t>
  </si>
  <si>
    <t xml:space="preserve">Configuración y número, por ejemplo HPLC-G04</t>
  </si>
  <si>
    <t xml:space="preserve">Hoja Equipos</t>
  </si>
  <si>
    <t xml:space="preserve">M3, M4</t>
  </si>
  <si>
    <t xml:space="preserve">configuracion</t>
  </si>
  <si>
    <t xml:space="preserve">Configuración del equipo asignado.</t>
  </si>
  <si>
    <t xml:space="preserve">Una de las de equipo_requerido</t>
  </si>
  <si>
    <t xml:space="preserve">idoneidad_ejecutada</t>
  </si>
  <si>
    <t xml:space="preserve">El equipo necesitó preparación e idoneidad del sistema para este registro.</t>
  </si>
  <si>
    <t xml:space="preserve">booleano</t>
  </si>
  <si>
    <t xml:space="preserve">Solo en HPLC y GC</t>
  </si>
  <si>
    <t xml:space="preserve">Costigliola et al. (2017, p. 9017)</t>
  </si>
  <si>
    <t xml:space="preserve">T4, M3</t>
  </si>
  <si>
    <t xml:space="preserve">Duración simulada</t>
  </si>
  <si>
    <t xml:space="preserve">duracion_simulada</t>
  </si>
  <si>
    <t xml:space="preserve">Tiempo de ejecución: t_prep_sistema + t_montaje + máx(t_idoneidad, t_preparacion) + t_corrida + t_procesamiento.</t>
  </si>
  <si>
    <t xml:space="preserve">Si la ejecución terminó, entre los tiempos optimista y pesimista corregidos por el factor del analista</t>
  </si>
  <si>
    <t xml:space="preserve">Diccionario, sección 1; Costigliola et al. (2017, pp. 9016–9017)</t>
  </si>
  <si>
    <t xml:space="preserve">duracion_coherente</t>
  </si>
  <si>
    <t xml:space="preserve">T4, T5, V1, V2</t>
  </si>
  <si>
    <t xml:space="preserve">t_prep_sistema</t>
  </si>
  <si>
    <t xml:space="preserve">Preparación del sistema (analista).</t>
  </si>
  <si>
    <t xml:space="preserve">0 si el equipo no necesitó idoneidad</t>
  </si>
  <si>
    <t xml:space="preserve">Costigliola et al. (2017, p. 9019)</t>
  </si>
  <si>
    <t xml:space="preserve">T5, H4</t>
  </si>
  <si>
    <t xml:space="preserve">t_idoneidad</t>
  </si>
  <si>
    <t xml:space="preserve">Idoneidad del sistema (equipo), en paralelo con la preparación del análisis.</t>
  </si>
  <si>
    <t xml:space="preserve">T5, M3</t>
  </si>
  <si>
    <t xml:space="preserve">t_preparacion</t>
  </si>
  <si>
    <t xml:space="preserve">Preparación del análisis: tiempo por solución × n_soluciones (analista).</t>
  </si>
  <si>
    <t xml:space="preserve">Mayor o igual que 0</t>
  </si>
  <si>
    <t xml:space="preserve">T5, H4, V2</t>
  </si>
  <si>
    <t xml:space="preserve">t_montaje</t>
  </si>
  <si>
    <t xml:space="preserve">Montaje del equipo (analista).</t>
  </si>
  <si>
    <t xml:space="preserve">Costigliola et al. (2017, p. 9016)</t>
  </si>
  <si>
    <t xml:space="preserve">T5, H4, M3</t>
  </si>
  <si>
    <t xml:space="preserve">t_corrida</t>
  </si>
  <si>
    <t xml:space="preserve">Corrida analítica (equipo).</t>
  </si>
  <si>
    <t xml:space="preserve">Hoja Catálogo; S05, S14 y S15</t>
  </si>
  <si>
    <t xml:space="preserve">t_procesamiento</t>
  </si>
  <si>
    <t xml:space="preserve">Procesamiento de datos, con la revisión (analista).</t>
  </si>
  <si>
    <t xml:space="preserve">Costigliola et al. (2017, p. 9016); S09</t>
  </si>
  <si>
    <t xml:space="preserve">Tiempos de la corrida</t>
  </si>
  <si>
    <t xml:space="preserve">llegada</t>
  </si>
  <si>
    <t xml:space="preserve">Llegada del registro: la de su muestra o, en una repetición, el fin de la ejecución que se repite.</t>
  </si>
  <si>
    <t xml:space="preserve">Mayor o igual que llegada_muestra</t>
  </si>
  <si>
    <t xml:space="preserve">C3, V3</t>
  </si>
  <si>
    <t xml:space="preserve">inicio</t>
  </si>
  <si>
    <t xml:space="preserve">Inicio de la primera tarea.</t>
  </si>
  <si>
    <t xml:space="preserve">Mayor o igual que llegada</t>
  </si>
  <si>
    <t xml:space="preserve">Generador</t>
  </si>
  <si>
    <t xml:space="preserve">H3, V3</t>
  </si>
  <si>
    <t xml:space="preserve">fin</t>
  </si>
  <si>
    <t xml:space="preserve">Fin de la última tarea o de la interrupción.</t>
  </si>
  <si>
    <t xml:space="preserve">Mayor o igual que inicio + duracion_simulada</t>
  </si>
  <si>
    <t xml:space="preserve">espera</t>
  </si>
  <si>
    <t xml:space="preserve">Espera en cola: inicio − llegada.</t>
  </si>
  <si>
    <t xml:space="preserve">C4</t>
  </si>
  <si>
    <t xml:space="preserve">pausas</t>
  </si>
  <si>
    <t xml:space="preserve">Pausas internas: fin − inicio − duracion_simulada.</t>
  </si>
  <si>
    <t xml:space="preserve">H3</t>
  </si>
  <si>
    <t xml:space="preserve">tiempo_en_sistema</t>
  </si>
  <si>
    <t xml:space="preserve">Tiempo en el sistema: fin − llegada.</t>
  </si>
  <si>
    <t xml:space="preserve">Mayor o igual que duracion_simulada</t>
  </si>
  <si>
    <t xml:space="preserve">Diccionario, sección 1; Costigliola et al. (2017, p. 9018)</t>
  </si>
  <si>
    <t xml:space="preserve">V1</t>
  </si>
  <si>
    <t xml:space="preserve">tardanza</t>
  </si>
  <si>
    <t xml:space="preserve">máx(0, fin − vencimiento); 0 si se cumplió el plazo.</t>
  </si>
  <si>
    <t xml:space="preserve">WHO (2024, s. 4.15, p. 165)</t>
  </si>
  <si>
    <t xml:space="preserve">Banderas de perturbación</t>
  </si>
  <si>
    <t xml:space="preserve">urgente</t>
  </si>
  <si>
    <t xml:space="preserve">La muestra llegó sin aviso, con prioridad máxima y el plazo del control en proceso.</t>
  </si>
  <si>
    <t xml:space="preserve">Solo en MP, GR y PT</t>
  </si>
  <si>
    <t xml:space="preserve">S03; Coito et al. (2021, p. 65)</t>
  </si>
  <si>
    <t xml:space="preserve">bandera_reanalisis</t>
  </si>
  <si>
    <t xml:space="preserve">El registro es un reanálisis o salió fuera de especificación.</t>
  </si>
  <si>
    <t xml:space="preserve">Coincide con causa_repeticion y resultado</t>
  </si>
  <si>
    <t xml:space="preserve">S01 y S13</t>
  </si>
  <si>
    <t xml:space="preserve">banderas_coherentes</t>
  </si>
  <si>
    <t xml:space="preserve">bandera_falla</t>
  </si>
  <si>
    <t xml:space="preserve">Una falla del equipo interrumpió el registro, o el registro repite uno interrumpido.</t>
  </si>
  <si>
    <t xml:space="preserve">S02</t>
  </si>
  <si>
    <t xml:space="preserve">M4</t>
  </si>
  <si>
    <t xml:space="preserve">analistas_calificados</t>
  </si>
  <si>
    <t xml:space="preserve">Analistas del laboratorio calificados en el método.</t>
  </si>
  <si>
    <t xml:space="preserve">Mayor o igual que 2</t>
  </si>
  <si>
    <t xml:space="preserve">Hoja Analistas</t>
  </si>
  <si>
    <t xml:space="preserve">combinaciones_coherentes</t>
  </si>
  <si>
    <t xml:space="preserve">H2, C1</t>
  </si>
  <si>
    <t xml:space="preserve">equipos_compatibles</t>
  </si>
  <si>
    <t xml:space="preserve">Unidades de equipo compatibles con el método.</t>
  </si>
  <si>
    <t xml:space="preserve">combinaciones_factibles</t>
  </si>
  <si>
    <t xml:space="preserve">analistas_calificados × equipos_compatibles.</t>
  </si>
  <si>
    <t xml:space="preserve">Mayor o igual que 4</t>
  </si>
  <si>
    <t xml:space="preserve">Diseño del laboratorio, sección 3</t>
  </si>
  <si>
    <t xml:space="preserve">C1, C2</t>
  </si>
  <si>
    <t xml:space="preserve">analistas_libres</t>
  </si>
  <si>
    <t xml:space="preserve">Analistas calificados en turno y sin una tarea en curso cuando llega el registro.</t>
  </si>
  <si>
    <t xml:space="preserve">De 0 a analistas_calificados</t>
  </si>
  <si>
    <t xml:space="preserve">Generador; S23</t>
  </si>
  <si>
    <t xml:space="preserve">H1, C3</t>
  </si>
  <si>
    <t xml:space="preserve">equipos_libres</t>
  </si>
  <si>
    <t xml:space="preserve">Equipos compatibles en servicio y sin uso cuando llega el registro.</t>
  </si>
  <si>
    <t xml:space="preserve">De 0 a equipos_compatibles</t>
  </si>
  <si>
    <t xml:space="preserve">Generador; S02 y S26</t>
  </si>
  <si>
    <t xml:space="preserve">M1, C3</t>
  </si>
  <si>
    <t xml:space="preserve">recurso_faltante</t>
  </si>
  <si>
    <t xml:space="preserve">Qué faltaba cuando llegó el registro.</t>
  </si>
  <si>
    <t xml:space="preserve">ninguno · analista · equipo · ambos</t>
  </si>
  <si>
    <t xml:space="preserve">Anteproyecto, §6.1.3</t>
  </si>
  <si>
    <t xml:space="preserve">C3, C4</t>
  </si>
  <si>
    <t xml:space="preserve">Indicadores del sistema de variables (anteproyecto, §8.5)</t>
  </si>
  <si>
    <t xml:space="preserve">Cómo se calcula cada indicador con los campos del registro (hoja Diccionario) y contra qué se compara (diccionario de datos, sección 3). V3 y V4 usan todos los campos.</t>
  </si>
  <si>
    <t xml:space="preserve">Dimensión</t>
  </si>
  <si>
    <t xml:space="preserve">Indicador (anteproyecto, §8.5)</t>
  </si>
  <si>
    <t xml:space="preserve">Qué se calcula</t>
  </si>
  <si>
    <t xml:space="preserve">Campos del registro</t>
  </si>
  <si>
    <t xml:space="preserve">Otras fuentes</t>
  </si>
  <si>
    <t xml:space="preserve">Referencia o criterio</t>
  </si>
  <si>
    <t xml:space="preserve">Tiempo optimista por actividad</t>
  </si>
  <si>
    <t xml:space="preserve">El valor de cada registro; por método, su mínimo, media y máximo.</t>
  </si>
  <si>
    <t xml:space="preserve">Registro</t>
  </si>
  <si>
    <t xml:space="preserve">Suma de los mínimos de las tareas (Costigliola et al., 2017, Tabla 3, p. 9016); regla tres_puntos_ordenados.</t>
  </si>
  <si>
    <t xml:space="preserve">Tiempo más probable</t>
  </si>
  <si>
    <t xml:space="preserve">El valor de cada registro; por método, su media.</t>
  </si>
  <si>
    <t xml:space="preserve">Suma de las modas de las tareas; regla tres_puntos_ordenados.</t>
  </si>
  <si>
    <t xml:space="preserve">Tiempo pesimista</t>
  </si>
  <si>
    <t xml:space="preserve">Suma de los máximos de las tareas; regla tres_puntos_ordenados.</t>
  </si>
  <si>
    <t xml:space="preserve">T4</t>
  </si>
  <si>
    <t xml:space="preserve">Duración simulada de la actividad</t>
  </si>
  <si>
    <t xml:space="preserve">El valor de cada registro, con sus seis tareas.</t>
  </si>
  <si>
    <t xml:space="preserve">idoneidad_ejecutada, duracion_simulada</t>
  </si>
  <si>
    <t xml:space="preserve">Entre los tiempos optimista y pesimista corregidos por el factor del analista; regla duracion_coherente.</t>
  </si>
  <si>
    <t xml:space="preserve">T5</t>
  </si>
  <si>
    <t xml:space="preserve">Media y dispersión de las duraciones generadas</t>
  </si>
  <si>
    <t xml:space="preserve">Media y desviación estándar de la duración por técnica, método y escenario, y media de cada tarea por técnica.</t>
  </si>
  <si>
    <t xml:space="preserve">escenario, carga, metodo, tecnica, duracion_simulada, t_prep_sistema, t_idoneidad, t_preparacion, t_montaje, t_corrida, t_procesamiento</t>
  </si>
  <si>
    <t xml:space="preserve">Tiempos promedio por tarea de Costigliola et al. (2017, Tabla 6, p. 9019); media PERT de los tres puntos con la mezcla de niveles de analista; en HPLC y GC con alistamiento, el 90 % entre 458 y 786 min (Coito et al., 2021, p. 74).</t>
  </si>
  <si>
    <t xml:space="preserve">H1</t>
  </si>
  <si>
    <t xml:space="preserve">Número de analistas disponibles</t>
  </si>
  <si>
    <t xml:space="preserve">Analistas en turno en cada franja y analistas calificados libres al llegar cada registro.</t>
  </si>
  <si>
    <t xml:space="preserve">Hojas Rotación y Turnos</t>
  </si>
  <si>
    <t xml:space="preserve">Franja horaria y registro</t>
  </si>
  <si>
    <t xml:space="preserve">2 analistas en turno a toda hora y hasta 14 en un día hábil (Costigliola et al., 2017, Tabla 1, p. 9015; diseño del laboratorio, Tabla 16).</t>
  </si>
  <si>
    <t xml:space="preserve">Calificación o elegibilidad del analista por actividad</t>
  </si>
  <si>
    <t xml:space="preserve">Porcentaje de registros cuyo analista está calificado en el método y tiene el nivel exigido; analistas calificados por método.</t>
  </si>
  <si>
    <t xml:space="preserve">metodo, complejidad, calificacion_exigida, analista, nivel_analista, analistas_calificados</t>
  </si>
  <si>
    <t xml:space="preserve">100 %; regla asignacion_coherente (S12).</t>
  </si>
  <si>
    <t xml:space="preserve">Disponibilidad temporal del analista</t>
  </si>
  <si>
    <t xml:space="preserve">Horas en turno de cada analista por semana y porcentaje de registros cuyo analista está en turno al empezar.</t>
  </si>
  <si>
    <t xml:space="preserve">analista, inicio, pausas</t>
  </si>
  <si>
    <t xml:space="preserve">56, 37,5 y 40 horas por semana según el turno; 886 horas-analista por semana (diseño del laboratorio, sección 4.2).</t>
  </si>
  <si>
    <t xml:space="preserve">H4</t>
  </si>
  <si>
    <t xml:space="preserve">Carga asignada al analista</t>
  </si>
  <si>
    <t xml:space="preserve">Suma de las tareas de analista por analista y semana, dividida entre sus horas en turno.</t>
  </si>
  <si>
    <t xml:space="preserve">analista, t_prep_sistema, t_preparacion, t_montaje, t_procesamiento</t>
  </si>
  <si>
    <t xml:space="preserve">Analista y semana</t>
  </si>
  <si>
    <t xml:space="preserve">Con 50 % más de carga faltan analistas (Costigliola et al., 2017, p. 9019): en el escenario alto la carga se acerca a las horas en turno.</t>
  </si>
  <si>
    <t xml:space="preserve">M1</t>
  </si>
  <si>
    <t xml:space="preserve">Número de equipos disponibles</t>
  </si>
  <si>
    <t xml:space="preserve">Unidades en servicio por configuración a lo largo de la corrida y equipos compatibles libres al llegar cada registro.</t>
  </si>
  <si>
    <t xml:space="preserve">Tabla de eventos de los equipos; hoja Equipos</t>
  </si>
  <si>
    <t xml:space="preserve">Configuración y registro</t>
  </si>
  <si>
    <t xml:space="preserve">70 equipos (Costigliola et al., 2017, p. 9015), al menos 2 por configuración (S21).</t>
  </si>
  <si>
    <t xml:space="preserve">Compatibilidad equipo–actividad</t>
  </si>
  <si>
    <t xml:space="preserve">Porcentaje de registros asignados a una configuración compatible con su método.</t>
  </si>
  <si>
    <t xml:space="preserve">metodo, equipo_requerido, configuracion, equipos_compatibles</t>
  </si>
  <si>
    <t xml:space="preserve">100 %; regla asignacion_coherente (S22).</t>
  </si>
  <si>
    <t xml:space="preserve">M3</t>
  </si>
  <si>
    <t xml:space="preserve">Disponibilidad temporal del equipo</t>
  </si>
  <si>
    <t xml:space="preserve">Fracción del tiempo en servicio de cada unidad y fracción en uso (montaje, idoneidad y corrida).</t>
  </si>
  <si>
    <t xml:space="preserve">equipo, idoneidad_ejecutada, t_idoneidad, t_montaje, t_corrida</t>
  </si>
  <si>
    <t xml:space="preserve">Tabla de eventos de los equipos</t>
  </si>
  <si>
    <t xml:space="preserve">Equipo</t>
  </si>
  <si>
    <t xml:space="preserve">Disponibilidad esperada de 94,8 % a 94,9 % (diseño del laboratorio, Tabla 17); sin la idoneidad, el diseño estima un uso menor que 5 % en el escenario base (sección 3.1).</t>
  </si>
  <si>
    <t xml:space="preserve">Condición de disponibilidad o indisponibilidad del equipo</t>
  </si>
  <si>
    <t xml:space="preserve">Estado de cada unidad en cada momento (en servicio, en ventana o en falla) y porcentaje de registros que interrumpió una falla.</t>
  </si>
  <si>
    <t xml:space="preserve">causa_repeticion, resultado, equipo, bandera_falla</t>
  </si>
  <si>
    <t xml:space="preserve">Equipo y registro</t>
  </si>
  <si>
    <t xml:space="preserve">5 % del tiempo en falla (S02) y una ventana por trimestre (S26).</t>
  </si>
  <si>
    <t xml:space="preserve">C1</t>
  </si>
  <si>
    <t xml:space="preserve">Número de combinaciones factibles analista–equipo por actividad</t>
  </si>
  <si>
    <t xml:space="preserve">El valor de cada registro: analistas calificados × equipos compatibles.</t>
  </si>
  <si>
    <t xml:space="preserve">metodo, equipo_requerido, analistas_calificados, equipos_compatibles, combinaciones_factibles</t>
  </si>
  <si>
    <t xml:space="preserve">Hojas Analistas y Equipos</t>
  </si>
  <si>
    <t xml:space="preserve">Las combinaciones de cada método del diseño del laboratorio (Tabla 13).</t>
  </si>
  <si>
    <t xml:space="preserve">C2</t>
  </si>
  <si>
    <t xml:space="preserve">Porcentaje de actividades con al menos una combinación factible</t>
  </si>
  <si>
    <t xml:space="preserve">Porcentaje de registros con al menos una combinación factible.</t>
  </si>
  <si>
    <t xml:space="preserve">100 % por diseño.</t>
  </si>
  <si>
    <t xml:space="preserve">C3</t>
  </si>
  <si>
    <t xml:space="preserve">Coincidencia temporal entre analista calificado y equipo compatible</t>
  </si>
  <si>
    <t xml:space="preserve">Porcentaje de registros que, al llegar, tienen a la vez un analista calificado libre y un equipo compatible libre (recurso_faltante = ninguno).</t>
  </si>
  <si>
    <t xml:space="preserve">llegada, analistas_libres, equipos_libres, recurso_faltante</t>
  </si>
  <si>
    <t xml:space="preserve">Cobertura en el tiempo del diseño: todas las horas, salvo M08 y M12, con analista calificado 125 de las 168 horas de la semana (diseño del laboratorio, sección 4.3).</t>
  </si>
  <si>
    <t xml:space="preserve">Porcentaje de actividades restringidas por falta de alguno de los recursos requeridos</t>
  </si>
  <si>
    <t xml:space="preserve">Porcentaje de registros con recurso_faltante distinto de «ninguno», separado en analista, equipo y ambos.</t>
  </si>
  <si>
    <t xml:space="preserve">escenario, carga, espera, recurso_faltante</t>
  </si>
  <si>
    <t xml:space="preserve">Corrida y escenario</t>
  </si>
  <si>
    <t xml:space="preserve">Crece con la carga; con 50 % más faltan sobre todo analistas (Costigliola et al., 2017, p. 9019).</t>
  </si>
  <si>
    <t xml:space="preserve">Distribución de los tiempos simulados</t>
  </si>
  <si>
    <t xml:space="preserve">Histogramas y cuantiles de la duración y de cada tarea por técnica, ajuste de cada tarea a su BetaPERT y tiempo en el sistema por técnica.</t>
  </si>
  <si>
    <t xml:space="preserve">tecnica, duracion_simulada, tiempo_en_sistema</t>
  </si>
  <si>
    <t xml:space="preserve">Hoja Duraciones</t>
  </si>
  <si>
    <t xml:space="preserve">Distribuciones de la hoja Duraciones (Costigliola et al., 2017, Tabla 3, p. 9016); tiempo en el sistema por técnica (Tabla 5, p. 9018).</t>
  </si>
  <si>
    <t xml:space="preserve">Correlaciones entre variables definidas</t>
  </si>
  <si>
    <t xml:space="preserve">Correlación de rangos entre complejidad, número de soluciones, preparación y duración.</t>
  </si>
  <si>
    <t xml:space="preserve">complejidad, n_soluciones, duracion_simulada, t_preparacion</t>
  </si>
  <si>
    <t xml:space="preserve">Hoja Supuestos (S04)</t>
  </si>
  <si>
    <t xml:space="preserve">ρ = 0,5 propuesto, con sensibilidad de 0,3 y 0,7 (S04); preparación = tiempo por solución × número de soluciones (Costigliola et al., 2017, p. 9019).</t>
  </si>
  <si>
    <t xml:space="preserve">Porcentaje de registros que cumplen las restricciones establecidas</t>
  </si>
  <si>
    <t xml:space="preserve">Porcentaje de registros que cumplen todas las reglas de las secciones 1 y 2 (chequear_registro).</t>
  </si>
  <si>
    <t xml:space="preserve">Todos (reglas de chequear_registro)</t>
  </si>
  <si>
    <t xml:space="preserve">src/generador/registro.py</t>
  </si>
  <si>
    <t xml:space="preserve">100 %.</t>
  </si>
  <si>
    <t xml:space="preserve">V4</t>
  </si>
  <si>
    <t xml:space="preserve">Porcentaje de valores fuera de los rangos definidos</t>
  </si>
  <si>
    <t xml:space="preserve">Porcentaje de valores de cada campo fuera de su columna «Valores o rango» de la hoja Diccionario.</t>
  </si>
  <si>
    <t xml:space="preserve">Todos (columna «Valores o rango» de la hoja Diccionario)</t>
  </si>
  <si>
    <t xml:space="preserve">Hoja Diccionario</t>
  </si>
  <si>
    <t xml:space="preserve">Campo y corrida</t>
  </si>
  <si>
    <t xml:space="preserve">0 %.</t>
  </si>
  <si>
    <t xml:space="preserve">V5</t>
  </si>
  <si>
    <t xml:space="preserve">Porcentaje de parámetros con trazabilidad bibliográfica</t>
  </si>
  <si>
    <t xml:space="preserve">Porcentaje de filas de las hojas Parámetros y Supuestos con fuente y página (dato de la literatura o derivado).</t>
  </si>
  <si>
    <t xml:space="preserve">Ninguno</t>
  </si>
  <si>
    <t xml:space="preserve">Hojas Parámetros y Supuestos</t>
  </si>
  <si>
    <t xml:space="preserve">Excel de parámetros</t>
  </si>
  <si>
    <t xml:space="preserve">Hoy, 78 de 107 (73 %); los 29 restantes son supuestos con escenarios de sensibilidad.</t>
  </si>
  <si>
    <t xml:space="preserve">Supuestos: lo que no está en las fuentes</t>
  </si>
  <si>
    <t xml:space="preserve">Las celdas amarillas son propuestas para arrancar, no datos. Cada una necesita una fuente adicional o declararse como supuesto y probarse con escenarios.</t>
  </si>
  <si>
    <t xml:space="preserve">Qué dicen las fuentes</t>
  </si>
  <si>
    <t xml:space="preserve">Propuesta inicial (supuesto)</t>
  </si>
  <si>
    <t xml:space="preserve">Escenarios para sensibilidad</t>
  </si>
  <si>
    <t xml:space="preserve">Cómo justificarlo</t>
  </si>
  <si>
    <t xml:space="preserve">S01</t>
  </si>
  <si>
    <t xml:space="preserve">Tasa de reanálisis por resultado fuera de especificación (OOS)</t>
  </si>
  <si>
    <t xml:space="preserve">Coito et al. (2021, p. 74) solo dice que hay fallas y repeticiones de tareas; no da tasa.</t>
  </si>
  <si>
    <t xml:space="preserve">0 % · 2 % · 5 %</t>
  </si>
  <si>
    <t xml:space="preserve">Buscar un informe del sector o una fuente regulatoria con tasas de OOS; si no aparece, declararlo como supuesto y mostrar el efecto con los tres escenarios.</t>
  </si>
  <si>
    <t xml:space="preserve">Indisponibilidad de equipos por fallas (mantenimiento no planificado)</t>
  </si>
  <si>
    <t xml:space="preserve">Coito et al. (2021, p. 74): el laboratorio no medía OEE. Costigliola et al. (2017) no reporta fallas. WHO (2024, s. 5.40, p. 176): el equipo defectuoso sale de servicio hasta repararse y recalificarse.</t>
  </si>
  <si>
    <t xml:space="preserve">0 % · 5 % · 10 % del tiempo disponible</t>
  </si>
  <si>
    <t xml:space="preserve">Reparación triangular (8, 48, 168) h; tiempo entre fallas exponencial, con la media que hace que la fracción de tiempo fuera de servicio sea S02 (hoja Calibración de turnos). Literatura de mantenimiento o de OEE en laboratorios si aparece; si no, supuesto con escenarios.</t>
  </si>
  <si>
    <t xml:space="preserve">S03</t>
  </si>
  <si>
    <t xml:space="preserve">Porcentaje de muestras urgentes no planificadas (materia prima, granel y producto terminado)</t>
  </si>
  <si>
    <t xml:space="preserve">Coito et al. (2021, p. 65) confirma que existen y que llegan con máxima prioridad; no da porcentaje.</t>
  </si>
  <si>
    <t xml:space="preserve">5 % · 10 % · 20 %</t>
  </si>
  <si>
    <t xml:space="preserve">Supuesto con escenarios. Aplica a los tipos con «Puede ser urgente» = Sí (hoja Tipos de muestra); el plazo de una urgente es el de control en proceso, 4 h (unas 2 h en el sistema según Costigliola et al., 2017, p. 9018).</t>
  </si>
  <si>
    <t xml:space="preserve">S04</t>
  </si>
  <si>
    <t xml:space="preserve">Coeficientes de correlación entre complejidad, n.º de soluciones y duración</t>
  </si>
  <si>
    <t xml:space="preserve">Ninguna fuente da coeficientes. Costigliola et al. (2017, p. 9019) da una relación estructural: preparación = tiempo por muestra × n.º de soluciones.</t>
  </si>
  <si>
    <t xml:space="preserve">ρ = 0,3 · 0,5 · 0,7</t>
  </si>
  <si>
    <t xml:space="preserve">Usar la relación estructural de Costigliola como dependencia principal y el coeficiente solo para el ruido; citar a Hassi et al. (2025), que usan factores de correlación en Monte Carlo con estimaciones de tres puntos (anteproyecto, §5.2).</t>
  </si>
  <si>
    <t xml:space="preserve">S05</t>
  </si>
  <si>
    <t xml:space="preserve">Tiempo de corrida de HPLC y GC</t>
  </si>
  <si>
    <t xml:space="preserve">Determinista en Costigliola et al. (2017, p. 9016), sin valores. Su Tabla 6 (p. 9019) da promedios simulados: HPLC 85 min, GC 62 min.</t>
  </si>
  <si>
    <t xml:space="preserve">Por método (hoja Catálogo): moda que conserva el promedio de la Tabla 6; mín y máx = ±20 %</t>
  </si>
  <si>
    <t xml:space="preserve">±10 % · ±20 % · ±30 %</t>
  </si>
  <si>
    <t xml:space="preserve">Declarar que el promedio viene de la Tabla 6 y que el reparto entre métodos (S14) y el rango son supuestos.</t>
  </si>
  <si>
    <t xml:space="preserve">Plazo de entrega por tipo de muestra</t>
  </si>
  <si>
    <t xml:space="preserve">Costigliola et al. (2017, p. 9018): control en proceso ≈2 h en el sistema; materia prima hasta una semana; Tabla 5: 31 h en HPLC para una muestra de prioridad media. WHO (2024, s. 4.15, p. 165) pone como ejemplo de indicador el porcentaje de informes emitidos dentro de plazo, sin fijar plazos.</t>
  </si>
  <si>
    <t xml:space="preserve">Control en proceso 4 h · granel 1 día hábil · producto terminado 2 días hábiles · materia prima 5 días hábiles · estabilidad 10 días hábiles · urgentes 4 h</t>
  </si>
  <si>
    <t xml:space="preserve">Holgura × 0,8 · × 1 · × 1,2</t>
  </si>
  <si>
    <t xml:space="preserve">Supuesto anclado en p. 9018 y Tabla 5. Los días hábiles evitan que venzan plazos en fin de semana, cuando solo se procesa control en proceso (p. 9015).</t>
  </si>
  <si>
    <t xml:space="preserve">S07</t>
  </si>
  <si>
    <t xml:space="preserve">Efecto de la experiencia del analista en la duración</t>
  </si>
  <si>
    <t xml:space="preserve">Coito et al. (2021, p. 74) menciona diferencias entre analistas según experiencia, sin cuantificarlas.</t>
  </si>
  <si>
    <t xml:space="preserve">× 0,9 sénior · × 1,0 · × 1,15 júnior</t>
  </si>
  <si>
    <t xml:space="preserve">Con y sin efecto</t>
  </si>
  <si>
    <t xml:space="preserve">Supuesto; sirve como variable explicativa en el O2.</t>
  </si>
  <si>
    <t xml:space="preserve">Número de soluciones por ensayo</t>
  </si>
  <si>
    <t xml:space="preserve">Costigliola et al. (2017, p. 9016) lista los campos (n.º de soluciones e inyecciones) pero no publica valores; con sus Tablas 3 y 6 se deduce el promedio por técnica (hoja Calibración del catálogo).</t>
  </si>
  <si>
    <t xml:space="preserve">Según la complejidad del método (S11): uniforme discreta 1–2, 3–4 o 5–6</t>
  </si>
  <si>
    <t xml:space="preserve">Fijo en la media del rango · uniforme en el rango</t>
  </si>
  <si>
    <t xml:space="preserve">En la fuente el número es fijo por método; la variación dentro del rango representa la especificación del cliente, tercera fuente de variabilidad según Coito et al. (2021, p. 74). Es el multiplicador de la preparación (S04).</t>
  </si>
  <si>
    <t xml:space="preserve">S09</t>
  </si>
  <si>
    <t xml:space="preserve">Duración de la tarea de revisión</t>
  </si>
  <si>
    <t xml:space="preserve">Coito et al. (2021, p. 72) la incluye como sexta tarea; ninguna fuente da su duración.</t>
  </si>
  <si>
    <t xml:space="preserve">Incluirla en el procesamiento de datos</t>
  </si>
  <si>
    <t xml:space="preserve">Con y sin revisión separada</t>
  </si>
  <si>
    <t xml:space="preserve">Declarar la simplificación o tomar una fracción del procesamiento de datos como supuesto.</t>
  </si>
  <si>
    <t xml:space="preserve">Proceso de llegadas por tipo de muestra</t>
  </si>
  <si>
    <t xml:space="preserve">Costigliola et al. (2017) da el volumen anual (Tabla 4); el laboratorio atiende control en proceso las 24 h, los 7 días, y lo demás de lunes a viernes (p. 9015). La estabilidad se retira en fechas fijas (WHO, 2018, §2.1.6 y §2.2.6).</t>
  </si>
  <si>
    <t xml:space="preserve">Control en proceso: Poisson las 24 h, los 7 días · materia prima, granel y producto terminado: Poisson de 8:00 a 17:00, de lunes a viernes · estabilidad: lote programado a las 8:00, de lunes a viernes</t>
  </si>
  <si>
    <t xml:space="preserve">Poisson · llegadas en lotes por turno</t>
  </si>
  <si>
    <t xml:space="preserve">Poisson es el supuesto estándar en simulación de eventos discretos; 8:00 a 17:00 es el horario del turno 3 de la Tabla 1.</t>
  </si>
  <si>
    <t xml:space="preserve">S11</t>
  </si>
  <si>
    <t xml:space="preserve">Regla de complejidad del método</t>
  </si>
  <si>
    <t xml:space="preserve">Ninguna fuente define niveles. Costigliola et al. (2017, p. 9019) escala la preparación con el número de soluciones, y Coito et al. (2021, p. 65) reseña un estudio que incluye la complejidad tecnológica y la experiencia del operario entre los factores de la duración de las tareas.</t>
  </si>
  <si>
    <t xml:space="preserve">Baja 1–2 · media 3–4 · alta 5–6 soluciones (Calibración del catálogo, bloque A)</t>
  </si>
  <si>
    <t xml:space="preserve">Fijo por método · uniforme en el rango</t>
  </si>
  <si>
    <t xml:space="preserve">Se ancla en la variable que la fuente usa para escalar la preparación; el promedio por técnica se calibra con las Tablas 3 y 6 (bloque B).</t>
  </si>
  <si>
    <t xml:space="preserve">Calificación mínima según la complejidad</t>
  </si>
  <si>
    <t xml:space="preserve">El anteproyecto (§1.2) y Coito et al. (2021, p. 65) dicen que cada analista está calificado solo para algunos métodos; no hay regla publicada.</t>
  </si>
  <si>
    <t xml:space="preserve">Baja: júnior o superior · media: intermedio o superior · alta: solo sénior</t>
  </si>
  <si>
    <t xml:space="preserve">Con y sin restricción por nivel</t>
  </si>
  <si>
    <t xml:space="preserve">La matriz analista–método (hoja Analistas) asigna las calificaciones concretas dentro de esta regla, según el área de cada analista (S20).</t>
  </si>
  <si>
    <t xml:space="preserve">S13</t>
  </si>
  <si>
    <t xml:space="preserve">Reanálisis según la complejidad</t>
  </si>
  <si>
    <t xml:space="preserve">Coito et al. (2021, p. 74): algunas subtareas fallan y se repiten; no da tasas.</t>
  </si>
  <si>
    <t xml:space="preserve">Multiplicadores 0,5 · 1 · 2 sobre S01, normalizados para que el promedio siga siendo S01</t>
  </si>
  <si>
    <t xml:space="preserve">Sin diferencia · 0,5/1/2 · 0,25/1/4</t>
  </si>
  <si>
    <t xml:space="preserve">Más soluciones, más oportunidades de error; la normalización mantiene S01 como tasa promedio del laboratorio.</t>
  </si>
  <si>
    <t xml:space="preserve">S14</t>
  </si>
  <si>
    <t xml:space="preserve">Relación de corrida entre los dos métodos de HPLC y de GC</t>
  </si>
  <si>
    <t xml:space="preserve">Costigliola et al. (2017, p. 9016): la corrida sale del informe de cada método y no se publica; la Tabla 6 (p. 9019) da el promedio por técnica.</t>
  </si>
  <si>
    <t xml:space="preserve">HPLC 2,5 (gradiente largo de impurezas frente a valoración isocrática) · GC 1,5 (equilibrio del espacio de cabeza)</t>
  </si>
  <si>
    <t xml:space="preserve">HPLC 1,5 · 2,5 · 4; GC 1 · 1,5 · 2</t>
  </si>
  <si>
    <t xml:space="preserve">El promedio por técnica se conserva (85 y 62 min); solo cambia el reparto entre métodos.</t>
  </si>
  <si>
    <t xml:space="preserve">S15</t>
  </si>
  <si>
    <t xml:space="preserve">Reparto de la corrida en PSA, KF, DSC y XRPD</t>
  </si>
  <si>
    <t xml:space="preserve">Costigliola et al. (2017, Tabla 3, p. 9016) da una sola distribución por técnica.</t>
  </si>
  <si>
    <t xml:space="preserve">El método simple toma el tramo corto de la distribución y el exigente el tramo largo, según su participación</t>
  </si>
  <si>
    <t xml:space="preserve">Tramos · la misma distribución para los dos métodos</t>
  </si>
  <si>
    <t xml:space="preserve">Juntos reproducen exactamente la distribución de la Tabla 3; no se agregan valores nuevos.</t>
  </si>
  <si>
    <t xml:space="preserve">S16</t>
  </si>
  <si>
    <t xml:space="preserve">Métodos que aplican a cada tipo de muestra</t>
  </si>
  <si>
    <t xml:space="preserve">ICH (1999, §3.2.1 y §3.3.1): valoración e impurezas son ensayos universales; tamaño de partícula, forma polimórfica y agua son específicos.</t>
  </si>
  <si>
    <t xml:space="preserve">Matriz de la hoja Catálogo (columnas MP a ES)</t>
  </si>
  <si>
    <t xml:space="preserve">Matriz base · matriz revisada con un analista de laboratorio</t>
  </si>
  <si>
    <t xml:space="preserve">Criterio propio con base en ICH Q6A; en estabilidad solo se repiten los atributos que pueden cambiar durante el almacenamiento.</t>
  </si>
  <si>
    <t xml:space="preserve">S17</t>
  </si>
  <si>
    <t xml:space="preserve">Proporción de muestras por tipo</t>
  </si>
  <si>
    <t xml:space="preserve">Ninguna fuente la reporta. Martins et al. (2023, p. 178): cada lote genera muestras de materia prima, control en proceso, producto terminado y estabilidad. En Costigliola et al. (2017, Tabla 1), el turno de 24 horas que cubre el control en proceso aporta el 35,5 % de las horas-analista, y las horas en que solo trabaja ese turno, el 18,6 %.</t>
  </si>
  <si>
    <t xml:space="preserve">MP 25 % · IN 30 % · GR 10 % · PT 20 % · ES 15 % (hoja Tipos de muestra)</t>
  </si>
  <si>
    <t xml:space="preserve">Base · más control en proceso (20/40/10/15/15) · laboratorio de liberación (30/20/10/25/15)</t>
  </si>
  <si>
    <t xml:space="preserve">El control en proceso queda dentro del rango que sugiere la Tabla 1 (19 % a 36 %); el resto es supuesto. Con cualquier proporción compatible se conserva la mezcla de técnicas de la Tabla 2 (hoja Calibración de tipos).</t>
  </si>
  <si>
    <t xml:space="preserve">S18</t>
  </si>
  <si>
    <t xml:space="preserve">Ensayos por muestra según el tipo</t>
  </si>
  <si>
    <t xml:space="preserve">Cunha et al. (2019, p. 1425): 85 % de las muestras con 1 ensayo, 10 % con 2 y 5 % con 3, sin distinguir tipo. Martins et al. (2023, p. 191) usa DU(1, 3) por tipo de trabajo.</t>
  </si>
  <si>
    <t xml:space="preserve">La misma distribución de Cunha para los cinco tipos; los ensayos de una muestra son métodos distintos</t>
  </si>
  <si>
    <t xml:space="preserve">Cunha (85/10/5) · Martins DU(1, 3)</t>
  </si>
  <si>
    <t xml:space="preserve">Al no repetir método dentro de una muestra, la mezcla por técnica se aparta hasta 1,1 puntos de la Tabla 2 (simulación de 400 000 muestras), del orden de la diferencia entre las Tablas 2 y 4 de Costigliola et al. (2017); el generador lo mide al validar.</t>
  </si>
  <si>
    <t xml:space="preserve">S19</t>
  </si>
  <si>
    <t xml:space="preserve">Niveles de experiencia de los analistas</t>
  </si>
  <si>
    <t xml:space="preserve">Coito et al. (2021, p. 74) menciona diferencias entre analistas según su experiencia, sin cuantificarlas; ninguna fuente da la distribución de niveles.</t>
  </si>
  <si>
    <t xml:space="preserve">5 sénior · 9 intermedio · 6 júnior (hoja Analistas)</t>
  </si>
  <si>
    <t xml:space="preserve">Más júnior (3/8/9) · base (5/9/6) · más sénior (7/9/4)</t>
  </si>
  <si>
    <t xml:space="preserve">Supuesto. El turno 1 solo tiene sénior e intermedios, porque cubre de noche los métodos de complejidad media del control en proceso.</t>
  </si>
  <si>
    <t xml:space="preserve">S20</t>
  </si>
  <si>
    <t xml:space="preserve">Área de trabajo de cada analista</t>
  </si>
  <si>
    <t xml:space="preserve">Costigliola et al. (2017, p. 9017, supuesto 3): en el laboratorio real cada turno atiende pocos tipos de operación. Coito et al. (2021, p. 65): analistas con competencias únicas. Martins et al. (2023, p. 191): no todos los analistas están entrenados en todo.</t>
  </si>
  <si>
    <t xml:space="preserve">Turno 1: todas las técnicas (control en proceso) · turnos 2 y 3: cromatografía (HPLC y GC) o fisicoquímica (PSA, KF, DSC y XRPD)</t>
  </si>
  <si>
    <t xml:space="preserve">Restringida (sin el turno 1 en todas) · base · flexible (todos en todas las áreas)</t>
  </si>
  <si>
    <t xml:space="preserve">La densidad de la matriz queda entre los dos niveles de flexibilidad de Martins et al. (2023, p. 191), f = 0,3 y 0,6.</t>
  </si>
  <si>
    <t xml:space="preserve">S21</t>
  </si>
  <si>
    <t xml:space="preserve">Reparto de los 70 equipos por configuración</t>
  </si>
  <si>
    <t xml:space="preserve">Costigliola et al. (2017, p. 9015): 70 equipos de 6 tipos, sin el reparto; la Figura 5 (p. 9018) muestra equipos numerados hasta HPLC22; con +50 % de carga los equipos alcanzan (p. 9019).</t>
  </si>
  <si>
    <t xml:space="preserve">Proporcional a las horas de equipo de cada configuración (montaje y corrida), con mínimo 2 por configuración</t>
  </si>
  <si>
    <t xml:space="preserve">Proporcional a horas · proporcional al número de análisis (Tabla 4)</t>
  </si>
  <si>
    <t xml:space="preserve">Mínimo 2 para que el mantenimiento de una unidad no deje un método sin equipo. La idoneidad del sistema no entra en las horas porque su frecuencia depende de la programación.</t>
  </si>
  <si>
    <t xml:space="preserve">S22</t>
  </si>
  <si>
    <t xml:space="preserve">Configuraciones de equipo y compatibilidad con los métodos</t>
  </si>
  <si>
    <t xml:space="preserve">Coito et al. (2021, p. 65): equipos con competencias únicas. Martins et al. (2023, p. 191): solo máquinas específicas pueden hacer ciertos ensayos. Cunha et al. (2019, Tabla 6): elegibilidad de máquinas por tipo de trabajo.</t>
  </si>
  <si>
    <t xml:space="preserve">HPLC con gradiente (M01 y M02) o isocrático (M01) · GC con inyección líquida (M03) o espacio de cabeza (M04) · PSA seco (M05) o húmedo (M06) · KF volumétrico (M07) o coulométrico (M08) · DSC y XRPD de una sola configuración</t>
  </si>
  <si>
    <t xml:space="preserve">Base · todos los HPLC con gradiente</t>
  </si>
  <si>
    <t xml:space="preserve">Sale del equipo que pide cada método en la hoja Catálogo.</t>
  </si>
  <si>
    <t xml:space="preserve">S23</t>
  </si>
  <si>
    <t xml:space="preserve">Rotación de los turnos</t>
  </si>
  <si>
    <t xml:space="preserve">Costigliola et al. (2017, Tabla 1, p. 9015): turno 1 de 12 h los 7 días con 2 analistas en turno; turno 2 de 8:00 a 17:00 y de 17:00 a 24:00 con 2 en turno; turno 3 fijo de 8:00 a 17:00. No describe la rotación.</t>
  </si>
  <si>
    <t xml:space="preserve">Turno 1: 3 parejas en ciclo de 2 días, 2 noches y 2 libres · turno 2: 2 parejas que alternan semana de mañana y semana de tarde · turno 3: fijo · sin festivos, vacaciones ni ausencias</t>
  </si>
  <si>
    <t xml:space="preserve">Con y sin ausencias (5 % de los turnos)</t>
  </si>
  <si>
    <t xml:space="preserve">La rotación del turno 1 reproduce exactamente la Tabla 1 (2 en turno, 56 h por semana cada uno); el calendario se repite cada 42 días.</t>
  </si>
  <si>
    <t xml:space="preserve">S24</t>
  </si>
  <si>
    <t xml:space="preserve">Almuerzo en los turnos de 8:00 a 17:00</t>
  </si>
  <si>
    <t xml:space="preserve">Costigliola et al. (2017, p. 9015) llama «de 8 horas» a los turnos de 8:00 a 17:00, que duran 9 horas.</t>
  </si>
  <si>
    <t xml:space="preserve">1 h de almuerzo: el turno 2 de mañana de 12:00 a 13:00; el turno 3 en dos grupos, de 12:00 a 13:00 y de 13:00 a 14:00 · sin pausas en los turnos de 12 h ni en el de tarde</t>
  </si>
  <si>
    <t xml:space="preserve">Con y sin almuerzo</t>
  </si>
  <si>
    <t xml:space="preserve">Así el turno de 8:00 a 17:00 suma 8 horas, como dice la fuente; el escalonamiento evita dejar el laboratorio con solo el turno 1 al mediodía.</t>
  </si>
  <si>
    <t xml:space="preserve">S25</t>
  </si>
  <si>
    <t xml:space="preserve">Ventana de proceso por tipo de muestra</t>
  </si>
  <si>
    <t xml:space="preserve">Costigliola et al. (2017, p. 9015): el control en proceso se atiende las 24 h, los 7 días; los demás ensayos, de lunes a viernes.</t>
  </si>
  <si>
    <t xml:space="preserve">Control en proceso y urgentes: a cualquier hora · materia prima, granel, producto terminado y estabilidad: de lunes a viernes, a cualquier hora en que haya un analista calificado</t>
  </si>
  <si>
    <t xml:space="preserve">Lunes a viernes a cualquier hora · solo de 8:00 a 24:00</t>
  </si>
  <si>
    <t xml:space="preserve">Coincide con los plazos en días hábiles de la sección 2 (S06).</t>
  </si>
  <si>
    <t xml:space="preserve">S26</t>
  </si>
  <si>
    <t xml:space="preserve">Mantenimiento preventivo, recalificación y verificación de equipos</t>
  </si>
  <si>
    <t xml:space="preserve">WHO (2024, s. 5.33–5.35, p. 175) exige un plan con la frecuencia de cada intervención, sin fijarla; tras el mantenimiento se recalifica (s. 5.39, p. 176). EDQM (2025, Anexo 2) exige verificaciones periódicas sin fijar frecuencia.</t>
  </si>
  <si>
    <t xml:space="preserve">Por equipo: 1 mantenimiento preventivo con recalificación al año (8 h; 4 h en PSA y KF) y 3 verificaciones de desempeño (2 h), una ventana por trimestre, en días hábiles desde las 8:00, escalonadas para que dos equipos de la misma configuración no coincidan; las hace personal externo o de metrología</t>
  </si>
  <si>
    <t xml:space="preserve">Base · el doble de ventanas</t>
  </si>
  <si>
    <t xml:space="preserve">La carga planificada es pequeña (menos del 0,2 % del año); su efecto en el O3 es sacar de servicio unidades concretas en días concretos.</t>
  </si>
  <si>
    <t xml:space="preserve">Repeticiones de un ensayo</t>
  </si>
  <si>
    <t xml:space="preserve">Coito et al. (2021, p. 74): algunas subtareas fallan y se repiten. Costigliola et al. (2017, p. 9017, supuesto 1): cada pareja muestra/análisis se procesa en un solo equipo. Ninguna fuente dice cómo registrar una repetición.</t>
  </si>
  <si>
    <t xml:space="preserve">Cada repetición es un registro nuevo (intento 2, 3…), enlazado a la ejecución anterior, que rehace todas las tareas del ensayo: el reanálisis por resultado fuera de especificación (a lo sumo uno por ensayo, con resultado definitivo, y con el plazo de la muestra) y la repetición en otro equipo cuando el equipo falla durante el ensayo</t>
  </si>
  <si>
    <t xml:space="preserve">Registro nuevo · repetición sumada a la duración del registro original</t>
  </si>
  <si>
    <t xml:space="preserve">Cada registro conserva un solo equipo y un solo analista, y su duración no mezcla dos ejecuciones; el O2 entrena solo con ejecuciones completas (diccionario de datos, sección 1).</t>
  </si>
  <si>
    <t xml:space="preserve">S28</t>
  </si>
  <si>
    <t xml:space="preserve">Precedencia entre los ensayos de una muestra</t>
  </si>
  <si>
    <t xml:space="preserve">Costigliola et al. (2017, p. 9017, supuesto 1) trata cada pareja muestra/análisis como una entidad; Martins et al. (2023, p. 178): la muestra es un conjunto de viales que permite varios ensayos. Cunha et al. (2019, pp. 1422–1423) la admiten y Martins et al. (2023, p. 185) la impone; en el TLSP es opcional (Mischek y Musliu, 2021, p. 539).</t>
  </si>
  <si>
    <t xml:space="preserve">Sin precedencia: los ensayos de una muestra pueden ejecutarse a la vez y la muestra termina con su último ensayo</t>
  </si>
  <si>
    <t xml:space="preserve">Sin precedencia · en el orden del catálogo</t>
  </si>
  <si>
    <t xml:space="preserve">Sigue el modelo de simulación con que se calibra el laboratorio; la diferencia con Cunha y Martins se reporta en el contraste estructural.</t>
  </si>
  <si>
    <t xml:space="preserve">Referencias para el contraste estructural (bloque del 1 de noviembre)</t>
  </si>
  <si>
    <t xml:space="preserve">Estructura de los laboratorios e instancias publicados. La última fila es para su propio dataset.</t>
  </si>
  <si>
    <t xml:space="preserve">Tipo de instancia</t>
  </si>
  <si>
    <t xml:space="preserve">Trabajos / muestras</t>
  </si>
  <si>
    <t xml:space="preserve">Operaciones por trabajo</t>
  </si>
  <si>
    <t xml:space="preserve">Equipos / máquinas</t>
  </si>
  <si>
    <t xml:space="preserve">Analistas / empleados</t>
  </si>
  <si>
    <t xml:space="preserve">Elegibilidad</t>
  </si>
  <si>
    <t xml:space="preserve">Horizonte</t>
  </si>
  <si>
    <t xml:space="preserve">Laboratorio real (Hovione, 2015)</t>
  </si>
  <si>
    <t xml:space="preserve">15 323 análisis requeridos en el año (Tabla 4)</t>
  </si>
  <si>
    <t xml:space="preserve">1 equipo por análisis</t>
  </si>
  <si>
    <t xml:space="preserve">70 equipos de 6 tipos</t>
  </si>
  <si>
    <t xml:space="preserve">20 analistas en 3 turnos</t>
  </si>
  <si>
    <t xml:space="preserve">Su modelo no restringe por calificación (supuesto 3)</t>
  </si>
  <si>
    <t xml:space="preserve">1 año</t>
  </si>
  <si>
    <t xml:space="preserve">pp. 9015, 9017, 9018</t>
  </si>
  <si>
    <t xml:space="preserve">Instancias mediana-grandes (carga diaria)</t>
  </si>
  <si>
    <t xml:space="preserve">30–40 trabajos</t>
  </si>
  <si>
    <t xml:space="preserve">1–3 (85 % / 10 % / 5 %); 35–52 operaciones en total</t>
  </si>
  <si>
    <t xml:space="preserve">15 máquinas</t>
  </si>
  <si>
    <t xml:space="preserve">5 analistas</t>
  </si>
  <si>
    <t xml:space="preserve">Por tipo de trabajo (Tabla 6)</t>
  </si>
  <si>
    <t xml:space="preserve">1 día</t>
  </si>
  <si>
    <t xml:space="preserve">pp. 1424–1425</t>
  </si>
  <si>
    <t xml:space="preserve">Experimentos (54 instancias)</t>
  </si>
  <si>
    <t xml:space="preserve">5, 10 y 70 trabajos</t>
  </si>
  <si>
    <t xml:space="preserve">DU(1, 3); 3 tipos de trabajo</t>
  </si>
  <si>
    <t xml:space="preserve">7 máquinas</t>
  </si>
  <si>
    <t xml:space="preserve">2, 3 o 7 analistas</t>
  </si>
  <si>
    <t xml:space="preserve">Probabilidad f = 0,3 o 0,6 por recurso</t>
  </si>
  <si>
    <t xml:space="preserve">Diario / semanal</t>
  </si>
  <si>
    <t xml:space="preserve">pp. 190–192</t>
  </si>
  <si>
    <t xml:space="preserve">TLSP: General y LabStructure (60 + 60) y 3 reales</t>
  </si>
  <si>
    <t xml:space="preserve">5–90 proyectos; ~4 trabajos por proyecto</t>
  </si>
  <si>
    <t xml:space="preserve">Tareas agrupadas en trabajos por familia</t>
  </si>
  <si>
    <t xml:space="preserve">Mesas de trabajo + grupos de equipos</t>
  </si>
  <si>
    <t xml:space="preserve">Empleados calificados (0–2 por modo)</t>
  </si>
  <si>
    <t xml:space="preserve">Promedio 5 mesas y 6 empleados por trabajo</t>
  </si>
  <si>
    <t xml:space="preserve">88–782 franjas de medio día</t>
  </si>
  <si>
    <t xml:space="preserve">pp. 538, 548, 550</t>
  </si>
  <si>
    <t xml:space="preserve">Este trabajo</t>
  </si>
  <si>
    <t xml:space="preserve">Laboratorio de referencia sintético</t>
  </si>
  <si>
    <t xml:space="preserve">Completar el 1 de noviembre</t>
  </si>
  <si>
    <t xml:space="preserve">Fuentes (APA 7)</t>
  </si>
  <si>
    <t xml:space="preserve">Las cinco fuentes de calibración y contraste citadas en el anteproyecto, más las referencias normativas y de método del catálogo y de los tipos de muestra.</t>
  </si>
  <si>
    <t xml:space="preserve">Cita corta</t>
  </si>
  <si>
    <t xml:space="preserve">Referencia (APA 7)</t>
  </si>
  <si>
    <t xml:space="preserve">Acceso</t>
  </si>
  <si>
    <t xml:space="preserve">Qué se tomó</t>
  </si>
  <si>
    <t xml:space="preserve">Costigliola, A., Ataíde, F. A. P., Vieira, S. M., &amp; Sousa, J. M. C. (2017). Simulation model of a quality control laboratory in pharmaceutical industry. IFAC-PapersOnLine, 50(1), 9014–9019. https://doi.org/10.1016/j.ifacol.2017.08.1582</t>
  </si>
  <si>
    <t xml:space="preserve">ScienceDirect (acceso gratuito)</t>
  </si>
  <si>
    <t xml:space="preserve">Recursos, turnos, mezcla y volumen por técnica, distribuciones de tiempos, tiempos en sistema, políticas e indicadores.</t>
  </si>
  <si>
    <t xml:space="preserve">Coito, T., Firme, B., Martins, M. S. E., Vieira, S. M., Figueiredo, J., &amp; Sousa, J. M. C. (2021). Intelligent sensors for real-time decision-making. Automation, 2(2), 62–82. https://doi.org/10.3390/automation2020004</t>
  </si>
  <si>
    <t xml:space="preserve">MDPI (acceso abierto)</t>
  </si>
  <si>
    <t xml:space="preserve">Seis tareas por ensayo, tiempos promedio medidos vs. estimados por expertos, rango de duración total, urgentes y competencias.</t>
  </si>
  <si>
    <t xml:space="preserve">Martins, M. S. E., Viegas, J. L., Coito, T., Firme, B., Costigliola, A., Figueiredo, J., Vieira, S. M., &amp; Sousa, J. M. C. (2023). Minimizing total completion time in large-sized pharmaceutical quality control scheduling. Journal of Heuristics, 29(1), 177–206. https://doi.org/10.1007/s10732-023-09509-8</t>
  </si>
  <si>
    <t xml:space="preserve">Springer (acceso abierto)</t>
  </si>
  <si>
    <t xml:space="preserve">Generación de instancias (tipos de trabajo, operaciones, tiempos, flexibilidad, tareas del analista) y reglas de despacho de referencia.</t>
  </si>
  <si>
    <t xml:space="preserve">Cunha, M. M., Viegas, J. L., Martins, M. S. E., Coito, T., Costigliola, A., Figueiredo, J., Sousa, J. M. C., &amp; Vieira, S. M. (2019). Dual resource constrained scheduling for quality control laboratories. IFAC-PapersOnLine, 52(13), 1421–1426. https://doi.org/10.1016/j.ifacol.2019.11.398</t>
  </si>
  <si>
    <t xml:space="preserve">Tipos de trabajo, intervenciones del analista, ensayos por muestra, carga diaria y elegibilidad.</t>
  </si>
  <si>
    <t xml:space="preserve">Mischek, F., &amp; Musliu, N. (2021). A local search framework for industrial test laboratory scheduling. Annals of Operations Research, 302, 533–562. https://doi.org/10.1007/s10479-021-04007-1</t>
  </si>
  <si>
    <t xml:space="preserve">Estructura del TLSP, modos, ventanas de tiempo e instancias públicas para el contraste.</t>
  </si>
  <si>
    <t xml:space="preserve">International Conference on Harmonisation of Technical Requirements for Registration of Pharmaceuticals for Human Use. (1999). Specifications: Test procedures and acceptance criteria for new drug substances and new drug products: Chemical substances (ICH Q6A). https://www.ema.europa.eu/en/ich-q6a-specifications-test-procedures-acceptance-criteria-new-drug-substances-new-drug-products-chemical-substances-scientific-guideline</t>
  </si>
  <si>
    <t xml:space="preserve">EMA (acceso abierto)</t>
  </si>
  <si>
    <t xml:space="preserve">Ensayos universales y específicos de una especificación: criterio para elegir los métodos del catálogo y su aplicación por tipo de muestra.</t>
  </si>
  <si>
    <t xml:space="preserve">United States Pharmacopeial Convention. (s. f.). Capítulos generales &lt;429&gt;, &lt;467&gt;, &lt;621&gt;, &lt;891&gt;, &lt;921&gt;, &lt;941&gt; y &lt;1086&gt;. En United States Pharmacopeia–National Formulary (USP–NF). Recuperado el 26 de octubre de 2026, de https://online.uspnf.com</t>
  </si>
  <si>
    <t xml:space="preserve">USP–NF en línea (suscripción)</t>
  </si>
  <si>
    <t xml:space="preserve">Capítulo de referencia de cada ensayo del catálogo.</t>
  </si>
  <si>
    <t xml:space="preserve">World Health Organization. (2014). WHO good manufacturing practices for pharmaceutical products: Main principles. En WHO Expert Committee on Specifications for Pharmaceutical Preparations: Forty-eighth report (WHO Technical Report Series, No. 986, Annex 2). World Health Organization. https://www.who.int/publications/m/item/trs986-annex2</t>
  </si>
  <si>
    <t xml:space="preserve">OMS (acceso abierto)</t>
  </si>
  <si>
    <t xml:space="preserve">Definiciones de materia prima, producto intermedio, granel, producto terminado y control en proceso.</t>
  </si>
  <si>
    <t xml:space="preserve">World Health Organization. (2018). Stability testing of active pharmaceutical ingredients and finished pharmaceutical products. En WHO Expert Committee on Specifications for Pharmaceutical Preparations: Fifty-second report (WHO Technical Report Series, No. 1010, Annex 10). World Health Organization. https://www.who.int/publications/m/item/trs1010-annex10</t>
  </si>
  <si>
    <t xml:space="preserve">Frecuencia de retiro de muestras de estabilidad: llegadas programadas.</t>
  </si>
  <si>
    <t xml:space="preserve">World Health Organization. (2024). WHO good practices for pharmaceutical quality control laboratories. En WHO Expert Committee on Specifications for Pharmaceutical Preparations: Fifty-seventh report (WHO Technical Report Series, No. 1052, Annex 4). World Health Organization. https://www.who.int/publications/m/item/who-good-practices-for-pharmaceutical-quality-control-laboratories</t>
  </si>
  <si>
    <t xml:space="preserve">Indicador de informes emitidos dentro de plazo (ya citada en el anteproyecto).</t>
  </si>
  <si>
    <t xml:space="preserve">European Directorate for the Quality of Medicines &amp; HealthCare. (2025). Qualification of equipment. Annex 2: Qualification of GC equipment (PA/PH/OMCL (16) 17 R3). Council of Europe. https://www.edqm.eu/documents/52006/128968/omcl-annex-2-qualification-of-gc-equipment.pdf/16e74fd7-cdb9-1efc-2514-8d0cf782dc6a</t>
  </si>
  <si>
    <t xml:space="preserve">EDQM (acceso abierto)</t>
  </si>
  <si>
    <t xml:space="preserve">Las verificaciones periódicas de equipos son obligatorias, pero su frecuencia la fija cada laboratorio.</t>
  </si>
  <si>
    <t xml:space="preserve">Deming y Stephan (1940)</t>
  </si>
  <si>
    <t xml:space="preserve">Deming, W. E., &amp; Stephan, F. F. (1940). On a least squares adjustment of a sampled frequency table when the expected marginal totals are known. The Annals of Mathematical Statistics, 11(4), 427–444. https://doi.org/10.1214/aoms/1177731829</t>
  </si>
  <si>
    <t xml:space="preserve">Project Euclid</t>
  </si>
  <si>
    <t xml:space="preserve">Ajuste proporcional iterativo para repartir cada método entre los tipos de muestra.</t>
  </si>
  <si>
    <t xml:space="preserve">Nota: la referencia de Cunha et al. (2019) en el anteproyecto no trae DOI; aquí está completo para que lo agreguen.</t>
  </si>
  <si>
    <t xml:space="preserve">metodo, t_optimista</t>
  </si>
  <si>
    <t xml:space="preserve">metodo, t_mas_probable</t>
  </si>
  <si>
    <t xml:space="preserve">metodo, t_pesimista</t>
  </si>
  <si>
    <t xml:space="preserve">idoneidad_ejecutada, duracion_simulada, t_prep_sistema, t_idoneidad, t_preparacion, t_montaje, t_corrida, t_procesamiento</t>
  </si>
  <si>
    <t xml:space="preserve">analista, t_prep_sistema, t_preparacion, t_montaje, t_procesamiento, inicio</t>
  </si>
  <si>
    <t xml:space="preserve">tecnica, duracion_simulada, t_prep_sistema, t_idoneidad, t_preparacion, t_montaje, t_corrida, t_procesamiento, tiempo_en_sistema</t>
  </si>
  <si>
    <t xml:space="preserve">C1, H2, M2, T1, T2, T3, T5</t>
  </si>
  <si>
    <t xml:space="preserve">M4</t>
  </si>
  <si>
    <t xml:space="preserve">M4</t>
  </si>
  <si>
    <t xml:space="preserve">T4, T5, H4, V1</t>
  </si>
  <si>
    <t xml:space="preserve">T4, T5, M3, V1</t>
  </si>
  <si>
    <t xml:space="preserve">T4, T5, H4, V1, V2</t>
  </si>
  <si>
    <t xml:space="preserve">T4, T5, H4, M3, V1</t>
  </si>
  <si>
    <t xml:space="preserve">T4, T5, M3, V1</t>
  </si>
  <si>
    <t xml:space="preserve">T4, T5, H4, V1</t>
  </si>
  <si>
    <t xml:space="preserve">C3</t>
  </si>
  <si>
    <t xml:space="preserve">H3, H4</t>
  </si>
  <si>
    <t xml:space="preserve">Preparación del análisis y corrida de HPLC y GC frente a los tiempos promedio de Costigliola et al. (2017, Tabla 6, p. 9019), cuyo procesamiento de datos y corrida de PSA y KF superan la media —y a veces el máximo— de las distribuciones de su Tabla 3 (p. 9016) y no sirven de referencia; media BetaPERT de los tres puntos con la forma λ elegida y la mezcla de niveles de analista; en HPLC y GC con alistamiento, contraste de orden de magnitud con Coito et al. (2021, p. 74), donde el 90 % de los ensayos dura entre 458 y 786 min sin procesamiento de datos ni revisión.</t>
  </si>
  <si>
    <t xml:space="preserve">56, 37,5 y 40 horas por semana según el turno; 886 horas-analista por semana (diseño del laboratorio, Tabla 15 y sección 4.2).</t>
  </si>
  <si>
    <t xml:space="preserve">Hoy, 78 de 107 (73 %); los 29 restantes son supuestos: los 28 de la hoja Supuestos, con escenarios de sensibilidad, y la elección de los doce métodos (P60).</t>
  </si>
  <si>
    <t xml:space="preserve">Costigliola et al. (2017, p. 9018): control en proceso ≈2 h en el sistema; materia prima, incluso después de una semana; Tabla 5: 31 h en HPLC para una muestra de prioridad media. WHO (2024, s. 4.15, p. 165) pone como ejemplo de indicador el porcentaje de informes emitidos dentro de plazo, sin fijar plazos.</t>
  </si>
  <si>
    <t xml:space="preserve">Costigliola et al. (2017, p. 9018): control en proceso ≈2 h en el sistema; materia prima, incluso después de una semana; Tabla 5: 31 h en HPLC, que según la fuente pueden representar una muestra de prioridad media. WHO (2024, s. 4.15, p. 165) pone como ejemplo de indicador el porcentaje de informes emitidos dentro de plazo, sin fijar plazos.</t>
  </si>
  <si>
    <t xml:space="preserve">Costigliola et al. (2017) da el volumen anual (Tabla 4, p. 9018); el laboratorio atiende control en proceso las 24 h, los 7 días, y lo demás de lunes a viernes (p. 9015). La estabilidad se retira en fechas fijas (WHO, 2018, §2.1.6 y §2.2.6).</t>
  </si>
  <si>
    <t xml:space="preserve">El anteproyecto (§1.2) dice que cada analista está calificado solo para algunos métodos; Coito et al. (2021, p. 65) señalan que analistas y equipos pueden tener competencias únicas, y Martins et al. (2023, p. 191), que los analistas no están entrenados en todos los análisis. No hay regla publicada.</t>
  </si>
  <si>
    <t xml:space="preserve">Ninguna fuente la reporta. Martins et al. (2023, p. 178): cada lote genera muestras de materia prima, control en proceso, producto terminado y estabilidad. En Costigliola et al. (2017, Tabla 1, p. 9015), el turno de 24 horas que cubre el control en proceso aporta el 35,5 % de las horas-analista, y las horas en que solo trabaja ese turno, el 18,6 %.</t>
  </si>
  <si>
    <t xml:space="preserve">Ninguna fuente la reporta. Martins et al. (2023, p. 178): cada lote genera muestras de materia prima, control en proceso, producto terminado y estabilidad. En Costigliola et al. (2017, Tabla 1, p. 9015), el turno de 24 horas que cubre el control en proceso aporta el 35,5 % de las horas-analista, y las horas-analista de las franjas en que solo trabaja ese turno (de 0:00 a 8:00 entre semana y los fines de semana), el 18,6 %.</t>
  </si>
  <si>
    <t xml:space="preserve">Cunha et al. (2019, p. 1425): 85 % de las muestras con 1 ensayo, cerca de 10 % con 2 y cerca de 5 % con 3, sin distinguir el origen de la muestra (en Cunha, el número de ensayos define el tipo de trabajo). Martins et al. (2023, p. 191) usa DU(1, 3) por tipo de trabajo.</t>
  </si>
  <si>
    <t xml:space="preserve">Coito et al. (2021, p. 65): equipos con competencias únicas. Martins et al. (2023, p. 191): solo máquinas específicas pueden hacer ciertos ensayos. Cunha et al. (2019, Tabla 6, p. 1425): elegibilidad de máquinas por tipo de trabajo.</t>
  </si>
  <si>
    <t xml:space="preserve">Costigliola et al. (2017, p. 9017, supuesto 1) trata cada pareja muestra/análisis como una entidad; Martins et al. (2023, p. 178): la muestra suele ser un conjunto de viales que permite varios ensayos. Cunha et al. (2019) admiten que haya o no precedencia (p. 1422), pero su modelo la impone (p. 1423), como Martins et al. (2023, p. 185); en el TLSP es opcional (Mischek y Musliu, 2021, p. 539).</t>
  </si>
  <si>
    <t xml:space="preserve">Preparación del sistema (soluciones y materiales), montaje del equipo, preparación de la muestra en paralelo con la idoneidad del sistema, análisis y procesamiento de datos</t>
  </si>
  <si>
    <t xml:space="preserve">El analista es un recurso secundario que solo se requiere en tareas específicas; en la Fig. 3, el equipo queda ocupado desde el inicio de la idoneidad hasta el fin de la corrida</t>
  </si>
  <si>
    <t xml:space="preserve">A: 3 operaciones con precedencia (tiempos 3, 2, 1) · B: 2 operaciones con precedencia (5, 4) · C: 1 operación (1)</t>
  </si>
  <si>
    <t xml:space="preserve">Corrida: determinista en HPLC y GC (de los informes de métodos) y con distribución en las demás técnicas (Tabla 3) · Número de preparaciones: determinista, de los informes · Tareas del analista: distribuciones ajustadas a un estudio de tiempos de un mes</t>
  </si>
  <si>
    <t xml:space="preserve">Los expertos sobreestiman. Al medir, el tiempo baja 33 % (preparación del sistema), 36 % (idoneidad), 18 % (preparación de muestra) y 2 % (corrida), y 20 % en el total; es decir, la estimación experta supera al tiempo medido en 49 %, 56 %, 22 %, 2 % y 25 %</t>
  </si>
  <si>
    <t xml:space="preserve">Chequeo de orden de magnitud en HPLC y GC con alistamiento: % de ensayos dentro de 458–786 min; el total de Coito no incluye el procesamiento de datos ni la revisión (Tabla 2).</t>
  </si>
  <si>
    <t xml:space="preserve">Control en proceso: unas 2 h en el sistema; baja prioridad (p. ej. materia prima): puede procesarse incluso después de una semana</t>
  </si>
  <si>
    <t xml:space="preserve">Política de cola del modelo de Costigliola</t>
  </si>
  <si>
    <t xml:space="preserve">En promedio, la diferencia entre la tasa de uso real y la simulada de los HPLC está dentro del 1,5 %; valores similares en los demás equipos</t>
  </si>
  <si>
    <t xml:space="preserve">La figura muestra equipos numerados hasta HPLC22: sugiere que el laboratorio tiene al menos 22 HPLC, si la numeración es correlativa</t>
  </si>
  <si>
    <t xml:space="preserve">p. 9018, §4 y §4.1; Tabla 6, p. 9019</t>
  </si>
  <si>
    <t xml:space="preserve">Definición: WHO (2014, p. 85). Baja prioridad: puede procesarse incluso después de una semana (Costigliola et al., 2017, p. 9018).</t>
  </si>
  <si>
    <t xml:space="preserve">Definición: WHO (2014, p. 82). Unas 31 h en el sistema en HPLC, que según la fuente pueden representar una muestra de prioridad media (Costigliola et al., 2017, Tabla 5, p. 9018).</t>
  </si>
  <si>
    <t xml:space="preserve">Tiempos promedio por tarea del modelo de Costigliola et al. (2017, Tabla 6, p. 9019) · min · promedio ± desviación (la fuente no explica el ± de esta tabla; en la Tabla 5 es entre corridas, p. 9018)</t>
  </si>
  <si>
    <t xml:space="preserve">Uso: referencia de validación para la preparación del análisis y la corrida de HPLC y GC. El procesamiento de datos y la corrida de PSA y KF de esta tabla superan la media (y a veces el máximo) de la Tabla 3, y la fuente no explica por qué. Prep. del sistema/análisis = prep. de muestra × n.º de soluciones (p. 9019).</t>
  </si>
  <si>
    <t xml:space="preserve">Fuente: Costigliola et al. (2017), Tabla 2 (p. 9016) y Tabla 4 (p. 9018, año 2015). Las dos tablas no coinciden exactamente (hasta 1 punto porcentual) y la fuente no explica por qué: la Tabla 2 sale de la tabla de llegadas del LIMS (p. 9016) y la Tabla 4, de la validación con el año 2015 (p. 9018); elijan una y declárenlo.</t>
  </si>
  <si>
    <t xml:space="preserve">El control en proceso funciona 24/7 (Costigliola et al., 2017, p. 9015).</t>
  </si>
  <si>
    <t xml:space="preserve">Promedio 5 mesas y 6 empleados calificados por trabajo</t>
  </si>
  <si>
    <t xml:space="preserve">Mischek, F., &amp; Musliu, N. (2021). A local search framework for industrial test laboratory scheduling. Annals of Operations Research, 302(2), 533–562. https://doi.org/10.1007/s10479-021-04007-1</t>
  </si>
  <si>
    <t xml:space="preserve">Coeficientes de correlación entre complejidad, n.º de soluciones y duración (ρ de Spearman del ruido entre las tareas del analista de una ejecución; hoja Correlaciones)</t>
  </si>
  <si>
    <t xml:space="preserve">Ninguna de las fuentes de calibración da coeficientes. Costigliola et al. (2017, p. 9019) da una relación estructural: preparación = tiempo por muestra × n.º de soluciones.</t>
  </si>
  <si>
    <t xml:space="preserve">Ninguna de las fuentes de calibración da coeficientes. Costigliola et al. (2017, p. 9019) da una relación estructural: preparación = tiempo por muestra × n.º de soluciones. Hassi et al. (2025, p. 339), en un proyecto de construcción, usan 0,3 entre actividades parecidas que comparten riesgos comunes (por ejemplo, requisitos de mano de obra similares), 0,4 entre las que dependen de recursos compartidos (como la disponibilidad de equipos) y 0,5 entre las que dependen del clima, sin decir de dónde salen esos valores.</t>
  </si>
  <si>
    <t xml:space="preserve">La relación estructural de Costigliola es la dependencia principal y entra por construcción en t_preparacion; el coeficiente es solo para el ruido: la correlación de rangos entre las cuatro tareas del analista de una ejecución, que las hace el mismo analista. La idoneidad y la corrida, que son del equipo, quedan independientes (hoja Correlaciones). Citar a Hassi et al. (2025), que usan factores de correlación en Monte Carlo con estimaciones de tres puntos (anteproyecto, §5.2).</t>
  </si>
  <si>
    <t xml:space="preserve">Correlación de rangos (Spearman) entre las seis tareas dentro de cada grupo de registros terminados (resultado distinto de «interrumpido») con el mismo método, número de soluciones, nivel del analista e idoneidad ejecutada, promediada con el número de registros de cada grupo (se omiten las tareas fijas en el grupo y los grupos de menos de 10 registros; duraciones sin redondear), frente a la que se espera con la matriz objetivo de la hoja Correlaciones y el tamaño de cada grupo; y correlación de rangos entre complejidad, número de soluciones, preparación y duración, en todo el dataset y dentro de cada técnica (correlacion.indicador_v2).</t>
  </si>
  <si>
    <t xml:space="preserve">metodo, resultado, tecnica, complejidad, n_soluciones, nivel_analista, idoneidad_ejecutada, duracion_simulada, t_prep_sistema, t_idoneidad, t_preparacion, t_montaje, t_corrida, t_procesamiento</t>
  </si>
  <si>
    <t xml:space="preserve">Hojas Correlaciones y Supuestos (S04)</t>
  </si>
  <si>
    <t xml:space="preserve">Tareas: en cada par, la diferencia entre la correlación obtenida y la esperada queda dentro de cinco errores estándar, calculados con la varianza de la correlación de rangos de n pares independientes, 1/(n − 1), que es exacta en los pares independientes y mayor que la real en los correlacionados (Xu et al., 2010). La esperada sale de la matriz objetivo —ρ = 0,5 entre las tareas del analista (S04, con sensibilidad de 0,3 y 0,7) y 0 con la idoneidad y la corrida— y del tamaño de cada grupo, porque con pocos registros la correlación de rangos sale más cerca de cero (Moran, 1948). Un par que se sale de su tolerancia no cumple; uno que cabe en ella pero no tiene registros para ver una correlación del tamaño de la de S04 (0,3 si la objetivo es cero) el 97,7 % de las veces, o que no tiene grupos de al menos 10 registros, queda sin datos suficientes, y entonces V2 no se da por cumplido (correlacion.veredicto_v2). Estructura: se reporta sin criterio de aceptación; en la mezcla de demanda con un solo nivel de analista y ρ = 0,5 (cuaderno 02), dentro de cada técnica, complejidad–número de soluciones 0,82, número de soluciones–preparación 0,72 y complejidad–duración 0,71, y en todo el dataset, complejidad–duración −0,06.</t>
  </si>
  <si>
    <t xml:space="preserve">C1, H2, M2, T1, T2, T3, T5, V2</t>
  </si>
  <si>
    <t xml:space="preserve">M4, V2</t>
  </si>
  <si>
    <t xml:space="preserve">T5, V1, V2</t>
  </si>
  <si>
    <t xml:space="preserve">H2, V2</t>
  </si>
  <si>
    <t xml:space="preserve">T4, M3, V2</t>
  </si>
  <si>
    <t xml:space="preserve">T4, T5, H4, V1, V2</t>
  </si>
  <si>
    <t xml:space="preserve">T4, T5, M3, V1, V2</t>
  </si>
  <si>
    <t xml:space="preserve">T4, T5, H4, M3, V1, V2</t>
  </si>
  <si>
    <t xml:space="preserve">T4, T5, M3, V1, V2</t>
  </si>
  <si>
    <t xml:space="preserve">T4, T5, H4, V1, V2</t>
  </si>
  <si>
    <t xml:space="preserve">Parámetros (lista completa) · Duraciones (tres puntos por técnica y tarea, con media y desviación PERT) · Demanda (mezcla, volumen y escenarios de carga) · Catálogo (12 métodos: complejidad, soluciones, calificación mínima, participación, corrida, reanálisis y tipos de muestra) · Calibración del catálogo (cómo salen esas columnas de las fuentes) · Tipos de muestra (5 tipos: proporción, llegadas, plazo, prioridad, urgentes y probabilidad de cada método) · Calibración de tipos (cómo se reparte cada método entre los tipos sin cambiar la mezcla de técnicas) · Equipos (10 configuraciones: cantidad y compatibilidad con cada método) · Analistas (20 analistas: turno, nivel, área y matriz de calificación) · Calibración de recursos (horas de equipo, cobertura y chequeos) · Turnos (horario de cada código de turno) · Rotación (calendario de 6 semanas por analista) · Mantenimiento (ventanas planificadas y fallas por configuración) · Calibración de turnos (rotación, horas, analistas por franja y fallas) · Diccionario (51 campos del registro: tipo, unidad, valores, cuándo se conoce, papel en el O2, regla que los verifica e indicadores que alimentan) · Indicadores (los 22 indicadores del sistema de variables: cálculo, campos y criterio) · Correlaciones (correlación objetivo entre las tareas de un ensayo y de dónde sale cada una) · Supuestos (lo que no está en las fuentes y deben decidir) · Contraste estructural (para el bloque del 1 de noviembre) · Fuentes (APA 7).</t>
  </si>
  <si>
    <t xml:space="preserve">Las cinco fuentes de calibración y contraste citadas en el anteproyecto, más las referencias normativas y de método del catálogo, de los tipos de muestra y de los factores de correlación.</t>
  </si>
  <si>
    <t xml:space="preserve">Correlaciones entre las tareas de un ensayo</t>
  </si>
  <si>
    <t xml:space="preserve">Matriz objetivo de correlación de rangos (ρ de Spearman) entre las seis tareas de una ejecución, que el generador induce con una cópula gaussiana (bloque «Factores de correlación»; anteproyecto, §1.4 y §5.2; indicador V2). La lee correlacion.matriz_objetivo().</t>
  </si>
  <si>
    <t xml:space="preserve">Tarea</t>
  </si>
  <si>
    <t xml:space="preserve">t_prep_sistema</t>
  </si>
  <si>
    <t xml:space="preserve">t_idoneidad</t>
  </si>
  <si>
    <t xml:space="preserve">t_preparacion</t>
  </si>
  <si>
    <t xml:space="preserve">t_montaje</t>
  </si>
  <si>
    <t xml:space="preserve">t_corrida</t>
  </si>
  <si>
    <t xml:space="preserve">t_procesamiento</t>
  </si>
  <si>
    <t xml:space="preserve">La hace</t>
  </si>
  <si>
    <t xml:space="preserve">t_prep_sistema</t>
  </si>
  <si>
    <t xml:space="preserve">Analista</t>
  </si>
  <si>
    <t xml:space="preserve">t_idoneidad</t>
  </si>
  <si>
    <t xml:space="preserve">Equipo</t>
  </si>
  <si>
    <t xml:space="preserve">t_preparacion</t>
  </si>
  <si>
    <t xml:space="preserve">Analista</t>
  </si>
  <si>
    <t xml:space="preserve">t_montaje</t>
  </si>
  <si>
    <t xml:space="preserve">Analista</t>
  </si>
  <si>
    <t xml:space="preserve">t_corrida</t>
  </si>
  <si>
    <t xml:space="preserve">Equipo</t>
  </si>
  <si>
    <t xml:space="preserve">t_procesamiento</t>
  </si>
  <si>
    <t xml:space="preserve">Analista</t>
  </si>
  <si>
    <t xml:space="preserve">Nota. Arriba de la diagonal va cada valor y abajo, su espejo. Negro: fórmula; el ρ entre las tareas del analista es el del supuesto S04 (hoja Supuestos, celda D8). Amarillo: supuesto de independencia. Para la sensibilidad (ρ = 0,3 o 0,7) basta cambiar S04 o pasarle el ρ a muestrear_ensayo.</t>
  </si>
  <si>
    <t xml:space="preserve">De dónde sale cada correlación</t>
  </si>
  <si>
    <t xml:space="preserve">Pares</t>
  </si>
  <si>
    <t xml:space="preserve">ρ objetivo</t>
  </si>
  <si>
    <t xml:space="preserve">Tipo</t>
  </si>
  <si>
    <t xml:space="preserve">De dónde sale</t>
  </si>
  <si>
    <t xml:space="preserve">Cómo se verifica</t>
  </si>
  <si>
    <t xml:space="preserve">Tareas del analista entre sí: t_prep_sistema, t_preparacion, t_montaje y t_procesamiento (6 pares)</t>
  </si>
  <si>
    <t xml:space="preserve">Supuesto S04</t>
  </si>
  <si>
    <t xml:space="preserve">Las cuatro las hace el mismo analista en la misma ejecución (Costigliola et al., 2017, p. 9016, Fig. 1; un analista por registro: diccionario de datos, sección 1): lo que lo demora en ella —interrupciones mientras trabaja o, en la preparación del análisis y el procesamiento de datos, una muestra difícil de manejar— tiende a demorar las otras. No liga ejecuciones distintas del mismo analista o del mismo día. Ninguna fuente de calibración da el coeficiente; Hassi et al. (2025, p. 339) usan 0,3 entre actividades parecidas que comparten riesgos comunes, como requisitos de mano de obra similares, sin decir de dónde sale. Escenarios: 0,3 · 0,5 · 0,7.</t>
  </si>
  <si>
    <t xml:space="preserve">Pruebas de tests/test_correlacion.py e indicador V2 por grupos (cuaderno 02)</t>
  </si>
  <si>
    <t xml:space="preserve">Corrida con las tareas del analista (4 pares)</t>
  </si>
  <si>
    <t xml:space="preserve">Independencia justificada</t>
  </si>
  <si>
    <t xml:space="preserve">La corrida la hace el equipo (Costigliola et al., 2017, p. 9016, Fig. 1). En HPLC y GC sale del informe del método y la fuente la trata como determinista (p. 9016, Tabla 3); su variación en el generador es un supuesto propio (S05 y S14). En PSA, KF, DSC y XRPD la fuente le da una distribución por técnica, que el generador reparte en tramos entre los métodos (S15). En ningún caso depende del analista.</t>
  </si>
  <si>
    <t xml:space="preserve">Correlación obtenida cercana a 0 (tests/test_correlacion.py; indicador V2)</t>
  </si>
  <si>
    <t xml:space="preserve">Idoneidad del sistema con la preparación del análisis, el montaje y el procesamiento (3 pares)</t>
  </si>
  <si>
    <t xml:space="preserve">Independencia justificada</t>
  </si>
  <si>
    <t xml:space="preserve">La idoneidad la hace el equipo (Costigliola et al., 2017, p. 9016, Fig. 1), en paralelo con la preparación del análisis (p. 9017, Fig. 3), y el factor del nivel del analista (S07) no la toca.</t>
  </si>
  <si>
    <t xml:space="preserve">Correlación obtenida cercana a 0 (tests/test_correlacion.py; indicador V2)</t>
  </si>
  <si>
    <t xml:space="preserve">Idoneidad con la preparación del sistema (1 par)</t>
  </si>
  <si>
    <t xml:space="preserve">Supuesto de independencia</t>
  </si>
  <si>
    <t xml:space="preserve">La idoneidad se hace con lo que deja listo la preparación del sistema (Costigliola et al., 2017, p. 9016, Fig. 1), así que podrían relacionarse, pero ninguna fuente lo cuantifica.</t>
  </si>
  <si>
    <t xml:space="preserve">Correlación obtenida cercana a 0 (tests/test_correlacion.py; indicador V2)</t>
  </si>
  <si>
    <t xml:space="preserve">Idoneidad con corrida (1 par)</t>
  </si>
  <si>
    <t xml:space="preserve">Supuesto de independencia</t>
  </si>
  <si>
    <t xml:space="preserve">Las dos son inyecciones del mismo método en el mismo sistema, así que podrían variar juntas (estado de la columna, equilibrado), pero ninguna fuente lo cuantifica y en la fuente la corrida de HPLC y GC es determinista. Lo que sí comparten, que el equipo esté disponible, se simula aparte con las fallas y las ventanas de mantenimiento (S02 y S26); Hassi et al. (2025, p. 339) usan 0,4 entre actividades que dependen de recursos compartidos, como la disponibilidad de equipos.</t>
  </si>
  <si>
    <t xml:space="preserve">Correlación obtenida cercana a 0 (tests/test_correlacion.py; indicador V2)</t>
  </si>
  <si>
    <t xml:space="preserve">—</t>
  </si>
  <si>
    <t xml:space="preserve">Tareas entre sí a través del método</t>
  </si>
  <si>
    <t xml:space="preserve">Estructural (no se induce)</t>
  </si>
  <si>
    <t xml:space="preserve">Cada método tiene sus propios tres puntos (hojas Duraciones y Catálogo): en todo el dataset, las tareas de un método largo salen largas a la vez. Por eso V2 compara la matriz dentro de grupos del mismo método, número de soluciones, nivel del analista e idoneidad ejecutada.</t>
  </si>
  <si>
    <t xml:space="preserve">Indicador V2 por grupos (cuaderno 02)</t>
  </si>
  <si>
    <t xml:space="preserve">—</t>
  </si>
  <si>
    <t xml:space="preserve">Complejidad y número de soluciones</t>
  </si>
  <si>
    <t xml:space="preserve">Estructural (no se induce)</t>
  </si>
  <si>
    <t xml:space="preserve">El número de soluciones se sortea en el rango de la complejidad del método: 1–2, 3–4 o 5–6 (S08 y S11).</t>
  </si>
  <si>
    <t xml:space="preserve">Indicador V2 en todo el dataset (cuaderno 02)</t>
  </si>
  <si>
    <t xml:space="preserve">—</t>
  </si>
  <si>
    <t xml:space="preserve">Número de soluciones y preparación del análisis</t>
  </si>
  <si>
    <t xml:space="preserve">Estructural (no se induce)</t>
  </si>
  <si>
    <t xml:space="preserve">Preparación = tiempo por solución × número de soluciones (Costigliola et al., 2017, p. 9019; S04).</t>
  </si>
  <si>
    <t xml:space="preserve">Indicador V2 en todo el dataset (cuaderno 02)</t>
  </si>
  <si>
    <t xml:space="preserve">—</t>
  </si>
  <si>
    <t xml:space="preserve">Nivel del analista y tareas del analista</t>
  </si>
  <si>
    <t xml:space="preserve">Estructural (no se induce)</t>
  </si>
  <si>
    <t xml:space="preserve">El factor del nivel (× 0,9 sénior · × 1,0 intermedio · × 1,15 júnior; S07) multiplica las cuatro tareas del analista. Como los métodos de complejidad alta solo los hace un sénior (S12), también acorta las tareas del analista en esos métodos.</t>
  </si>
  <si>
    <t xml:space="preserve">Indicador V2 en todo el dataset; dentro de un grupo no cambia los rangos</t>
  </si>
  <si>
    <t xml:space="preserve">Nota. La cópula gaussiana lleva cada ρ de Spearman a la correlación de la normal con r = 2 sen(πρ/6) (Clemen y Reilly, 1999, p. 211); el método de Iman y Conover (1982), con esa misma conversión, es la alternativa para reordenar muestras ya generadas. Referencias completas en la hoja Fuentes.</t>
  </si>
  <si>
    <t xml:space="preserve">Clemen y Reilly (1999)</t>
  </si>
  <si>
    <t xml:space="preserve">Clemen, R. T., &amp; Reilly, T. (1999). Correlations and copulas for decision and risk analysis. Management Science, 45(2), 208–224. https://doi.org/10.1287/mnsc.45.2.208</t>
  </si>
  <si>
    <t xml:space="preserve">INFORMS (suscripción)</t>
  </si>
  <si>
    <t xml:space="preserve">Cópula gaussiana para inducir una correlación de rangos: conversión r = 2 sen(πρ/6) entre la correlación de Spearman y la de la normal (p. 211) y procedimiento de simulación (p. 218).</t>
  </si>
  <si>
    <t xml:space="preserve">Hassi et al. (2025)</t>
  </si>
  <si>
    <t xml:space="preserve">Hassi, H., El Mkhalet, M., &amp; Lamdouar, N. (2025). Scheduling optimization and risk analysis using Monte Carlo simulation for a construction project in Morocco. International Journal of Engineering Trends and Technology, 73(6), 336–349. https://doi.org/10.14445/22315381/IJETT-V73I6P128</t>
  </si>
  <si>
    <t xml:space="preserve">IJETT (acceso abierto)</t>
  </si>
  <si>
    <t xml:space="preserve">Factores de correlación en Monte Carlo con estimaciones de tres puntos (ya citada en el anteproyecto): 0,3 entre actividades parecidas que comparten riesgos comunes (por ejemplo, requisitos de mano de obra similares), 0,4 entre las que dependen de recursos compartidos (como la disponibilidad de equipos) y 0,5 entre las que dependen del clima (p. 339).</t>
  </si>
  <si>
    <t xml:space="preserve">Iman y Conover (1982)</t>
  </si>
  <si>
    <t xml:space="preserve">Iman, R. L., &amp; Conover, W. J. (1982). A distribution-free approach to inducing rank correlation among input variables. Communications in Statistics – Simulation and Computation, 11(3), 311–334. https://doi.org/10.1080/03610918208812265</t>
  </si>
  <si>
    <t xml:space="preserve">Taylor &amp; Francis (suscripción)</t>
  </si>
  <si>
    <t xml:space="preserve">Inducir una correlación de rangos reordenando muestras ya generadas, sin cambiar sus valores (correlacion.inducir_correlacion). Con un cambio: a los puntajes se les da la correlación de la normal que corresponde a la objetivo, r = 2 sen(πρ/6), para que la correlación de rangos llegue a ρ.</t>
  </si>
  <si>
    <t xml:space="preserve">Moran (1948)</t>
  </si>
  <si>
    <t xml:space="preserve">Moran, P. A. P. (1948). Rank correlation and product-moment correlation. Biometrika, 35(1–2), 203–206. https://doi.org/10.1093/biomet/35.1-2.203</t>
  </si>
  <si>
    <t xml:space="preserve">Oxford Academic (suscripción)</t>
  </si>
  <si>
    <t xml:space="preserve">Valor esperado de la correlación de rangos de n pares de una normal, con el que el indicador V2 compara grupos chicos (correlacion.rho_spearman_esperada); la fórmula se tomó de Xu et al. (2010, ec. 16), que se la atribuyen, y se verificó por simulación en tests/test_correlacion.py.</t>
  </si>
  <si>
    <t xml:space="preserve">Xu et al. (2010)</t>
  </si>
  <si>
    <t xml:space="preserve">Xu, W., Hou, Y., Hung, Y. S., &amp; Zou, Y. (2010). Comparison of Spearman's rho and Kendall's tau in normal and contaminated normal models (arXiv:1011.2009). arXiv. https://doi.org/10.48550/arXiv.1011.2009</t>
  </si>
  <si>
    <t xml:space="preserve">arXiv (acceso abierto)</t>
  </si>
  <si>
    <t xml:space="preserve">Varianza exacta de la correlación de rangos de n pares de una normal (ec. 20): con ρ = 0 es 1/(n − 1), la que usa el indicador V2 para su error estándar (correlacion.varianza_rho_spearman); también trae el valor esperado de Moran (ec. 16). Versión publicada: Signal Processing, 93(1), 261–276 (2013), https://doi.org/10.1016/j.sigpro.2012.08.005; las ecuaciones citadas son las del preprint.</t>
  </si>
  <si>
    <t xml:space="preserve">La unidad de análisis (un registro por ejecución de un ensayo sobre una muestra) y los 51 campos del registro están en docs/Diccionario_de_datos.docx, en la hoja Diccionario y en src/generador/registro.py, que verifica cada regla; la hoja Indicadores amarra los campos con el sistema de variables. Sus supuestos son S27 y S28 (hoja Supuestos) y sus datos, el bloque «Estructura del registro» de la hoja Parámetros.</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</si>
  <si>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</si>
  <si>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</si>
  <si>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</si>
  <si>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</si>
  <si>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</si>
  <si>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</si>
  <si>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</si>
  <si>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</si>
  <si>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</si>
  <si>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</si>
  <si>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</si>
  <si>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</si>
  <si>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</si>
  <si>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</si>
  <si>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</si>
  <si>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</si>
  <si>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</si>
  <si>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</si>
  <si>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</si>
  <si>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</si>
  <si>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</si>
  <si>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</si>
  <si>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</si>
  <si>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</si>
  <si>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</si>
  <si>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</si>
  <si>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</si>
  <si>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</si>
  <si>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</si>
  <si>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</si>
  <si>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</si>
  <si>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</si>
  <si>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</si>
  <si>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</si>
  <si>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</si>
  <si>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</si>
  <si>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</si>
  <si>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</si>
  <si>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</si>
  <si>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</si>
  <si>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</si>
  <si>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</si>
  <si>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</si>
  <si>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</si>
  <si>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</si>
  <si>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</si>
  <si>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</si>
  <si>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</si>
  <si>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</si>
  <si>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</si>
  <si>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</si>
  <si>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</si>
  <si>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</si>
  <si>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</si>
  <si>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</si>
  <si>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</si>
  <si>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</si>
  <si>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</si>
  <si>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</si>
  <si>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</si>
  <si>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</si>
  <si>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</si>
  <si>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</si>
  <si>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</si>
  <si>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</si>
  <si>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</si>
  <si>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</si>
  <si>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</si>
  <si>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</si>
  <si>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</si>
  <si>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</si>
  <si>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</si>
  <si>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</si>
  <si>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</si>
  <si>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</si>
  <si>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</si>
  <si>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</si>
  <si>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</si>
  <si>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</si>
  <si>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</si>
  <si>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</si>
  <si>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</si>
  <si>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</si>
  <si>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</si>
  <si>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</si>
  <si>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</si>
  <si>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No aplica</t>
  </si>
  <si>
    <t xml:space="preserve">Ninguna</t>
  </si>
  <si>
    <t xml:space="preserve">Ninguna</t>
  </si>
  <si>
    <t xml:space="preserve">Preparación del análisis y corrida de HPLC y GC frente a los tiempos promedio de Costigliola et al. (2017, Tabla 6, p. 9019), cuyo procesamiento de datos y corrida de PSA y KF superan la media, y a veces el máximo, de las distribuciones de su Tabla 3 (p. 9016) y no sirven de referencia; media BetaPERT de los tres puntos con la forma λ elegida y la mezcla de niveles de analista; en HPLC y GC con alistamiento, contraste de orden de magnitud con Coito et al. (2021, p. 74), donde el 90 % de los ensayos dura entre 458 y 786 min sin procesamiento de datos ni revisión.</t>
  </si>
  <si>
    <t xml:space="preserve">Ninguna</t>
  </si>
  <si>
    <t xml:space="preserve">Ninguna</t>
  </si>
  <si>
    <t xml:space="preserve">Ninguna</t>
  </si>
  <si>
    <t xml:space="preserve">Tareas: en cada par, la diferencia entre la correlación obtenida y la esperada queda dentro de cinco errores estándar, calculados con la varianza de la correlación de rangos de n pares independientes, 1/(n − 1), que es exacta en los pares independientes y mayor que la real en los correlacionados (Xu et al., 2010). La esperada sale de la matriz objetivo y del tamaño de cada grupo: la matriz da ρ = 0,5 entre las tareas del analista (S04, con sensibilidad de 0,3 y 0,7) y 0 con la idoneidad y la corrida, y con pocos registros la correlación de rangos sale más cerca de cero (Moran, 1948). Un par que se sale de su tolerancia no cumple; uno que cabe en ella pero no tiene registros para ver una correlación del tamaño de la de S04 (0,3 si la objetivo es cero) el 97,7 % de las veces, o que no tiene grupos de al menos 10 registros, queda sin datos suficientes, y entonces V2 no se da por cumplido (correlacion.veredicto_v2). Estructura: se reporta sin criterio de aceptación; en la mezcla de demanda con un solo nivel de analista y ρ = 0,5 (cuaderno 02), dentro de cada técnica, complejidad–número de soluciones 0,82, número de soluciones–preparación 0,72 y complejidad–duración 0,71, y en todo el dataset, complejidad–duración −0,06.</t>
  </si>
  <si>
    <t xml:space="preserve">Las cuatro las hace el mismo analista en la misma ejecución (Costigliola et al., 2017, p. 9016, Fig. 1; un analista por registro: diccionario de datos, sección 1): lo que lo demora en ella (interrupciones mientras trabaja o, en la preparación del análisis y el procesamiento de datos, una muestra difícil de manejar) tiende a demorar las otras. No liga ejecuciones distintas del mismo analista o del mismo día. Ninguna fuente de calibración da el coeficiente; Hassi et al. (2025, p. 339) usan 0,3 entre actividades parecidas que comparten riesgos comunes, como requisitos de mano de obra similares, sin decir de dónde sale. Escenarios: 0,3 · 0,5 · 0,7.</t>
  </si>
  <si>
    <t xml:space="preserve">No aplica</t>
  </si>
  <si>
    <t xml:space="preserve">No aplica</t>
  </si>
  <si>
    <t xml:space="preserve">No aplica</t>
  </si>
  <si>
    <t xml:space="preserve">No aplica</t>
  </si>
</sst>
</file>

<file path=xl/styles.xml><?xml version="1.0" encoding="utf-8"?>
<styleSheet xmlns="http://schemas.openxmlformats.org/spreadsheetml/2006/main">
  <numFmts count="12">
    <numFmt numFmtId="164" formatCode="General"/>
    <numFmt numFmtId="165" formatCode="General"/>
    <numFmt numFmtId="166" formatCode="0%"/>
    <numFmt numFmtId="167" formatCode="0.0"/>
    <numFmt numFmtId="168" formatCode="0.0%"/>
    <numFmt numFmtId="169" formatCode="#,##0"/>
    <numFmt numFmtId="170" formatCode="0.00"/>
    <numFmt numFmtId="171" formatCode="0"/>
    <numFmt numFmtId="172" formatCode="0.00%"/>
    <numFmt numFmtId="173" formatCode="0.000"/>
    <numFmt numFmtId="174" formatCode="0.0000"/>
    <numFmt numFmtId="175" formatCode="0.0E+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2514E"/>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52514E"/>
      <name val="Arial"/>
      <family val="0"/>
      <charset val="1"/>
    </font>
    <font>
      <sz val="11"/>
      <color theme="1"/>
      <name val="Arial"/>
      <family val="0"/>
      <charset val="1"/>
    </font>
    <font>
      <i val="true"/>
      <sz val="9"/>
      <color rgb="FF52514E"/>
      <name val="Arial"/>
      <family val="0"/>
      <charset val="1"/>
    </font>
    <font>
      <b val="true"/>
      <sz val="10"/>
      <color rgb="FF0000FF"/>
      <name val="Arial"/>
      <family val="0"/>
      <charset val="1"/>
    </font>
    <font>
      <sz val="9"/>
      <color rgb="FF52514E"/>
      <name val="Arial"/>
      <family val="0"/>
      <charset val="1"/>
    </font>
  </fonts>
  <fills count="4">
    <fill>
      <patternFill patternType="none"/>
    </fill>
    <fill>
      <patternFill patternType="gray125"/>
    </fill>
    <fill>
      <patternFill patternType="solid">
        <fgColor rgb="FFFFF2A8"/>
        <bgColor rgb="FFE7E6E1"/>
      </patternFill>
    </fill>
    <fill>
      <patternFill patternType="solid">
        <fgColor rgb="FFE7E6E1"/>
        <bgColor rgb="FFD5D3CC"/>
      </patternFill>
    </fill>
  </fills>
  <borders count="3">
    <border diagonalUp="false" diagonalDown="false">
      <left/>
      <right/>
      <top/>
      <bottom/>
      <diagonal/>
    </border>
    <border diagonalUp="false" diagonalDown="false">
      <left/>
      <right/>
      <top/>
      <bottom style="thin">
        <color rgb="FF9C9A92"/>
      </bottom>
      <diagonal/>
    </border>
    <border diagonalUp="false" diagonalDown="false">
      <left/>
      <right/>
      <top/>
      <bottom style="thin">
        <color rgb="FFD5D3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7" fontId="10" fillId="0" borderId="2" xfId="0" applyFont="true" applyBorder="tru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5" fontId="10" fillId="2" borderId="2"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8" fontId="7" fillId="0"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0" fontId="8" fillId="2" borderId="2"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70" fontId="8" fillId="0" borderId="2"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top" textRotation="0" wrapText="true" indent="0" shrinkToFit="false"/>
      <protection locked="true" hidden="false"/>
    </xf>
    <xf numFmtId="171" fontId="7" fillId="0" borderId="2" xfId="0" applyFont="true" applyBorder="true" applyAlignment="true" applyProtection="false">
      <alignment horizontal="general" vertical="top" textRotation="0" wrapText="true" indent="0" shrinkToFit="false"/>
      <protection locked="true" hidden="false"/>
    </xf>
    <xf numFmtId="168" fontId="7" fillId="0" borderId="2" xfId="0" applyFont="true" applyBorder="true" applyAlignment="true" applyProtection="false">
      <alignment horizontal="general" vertical="top" textRotation="0" wrapText="true" indent="0" shrinkToFit="false"/>
      <protection locked="true" hidden="false"/>
    </xf>
    <xf numFmtId="167" fontId="7" fillId="0" borderId="2" xfId="0" applyFont="true" applyBorder="true" applyAlignment="true" applyProtection="false">
      <alignment horizontal="general" vertical="top" textRotation="0" wrapText="true" indent="0" shrinkToFit="false"/>
      <protection locked="true" hidden="false"/>
    </xf>
    <xf numFmtId="172" fontId="7" fillId="0" borderId="2" xfId="0" applyFont="true" applyBorder="true" applyAlignment="true" applyProtection="false">
      <alignment horizontal="general" vertical="top" textRotation="0" wrapText="true" indent="0" shrinkToFit="false"/>
      <protection locked="true" hidden="false"/>
    </xf>
    <xf numFmtId="171" fontId="8" fillId="2" borderId="2" xfId="0" applyFont="true" applyBorder="true" applyAlignment="true" applyProtection="false">
      <alignment horizontal="general" vertical="top" textRotation="0" wrapText="true" indent="0" shrinkToFit="false"/>
      <protection locked="true" hidden="false"/>
    </xf>
    <xf numFmtId="164" fontId="8" fillId="2" borderId="2" xfId="0" applyFont="true" applyBorder="true" applyAlignment="true" applyProtection="false">
      <alignment horizontal="general" vertical="top" textRotation="0" wrapText="true" indent="0" shrinkToFit="false"/>
      <protection locked="true" hidden="false"/>
    </xf>
    <xf numFmtId="170" fontId="8" fillId="2"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8" fontId="6" fillId="0" borderId="2" xfId="0" applyFont="true" applyBorder="true" applyAlignment="true" applyProtection="false">
      <alignment horizontal="general" vertical="top" textRotation="0" wrapText="true" indent="0" shrinkToFit="false"/>
      <protection locked="true" hidden="false"/>
    </xf>
    <xf numFmtId="172" fontId="6" fillId="0" borderId="2" xfId="0" applyFont="true" applyBorder="true" applyAlignment="true" applyProtection="false">
      <alignment horizontal="general" vertical="top" textRotation="0" wrapText="true" indent="0" shrinkToFit="false"/>
      <protection locked="true" hidden="false"/>
    </xf>
    <xf numFmtId="173" fontId="7" fillId="0" borderId="2" xfId="0" applyFont="true" applyBorder="true" applyAlignment="true" applyProtection="false">
      <alignment horizontal="general" vertical="top" textRotation="0" wrapText="true" indent="0" shrinkToFit="false"/>
      <protection locked="true" hidden="false"/>
    </xf>
    <xf numFmtId="171" fontId="8" fillId="0" borderId="2" xfId="0" applyFont="true" applyBorder="true" applyAlignment="true" applyProtection="false">
      <alignment horizontal="general" vertical="top" textRotation="0" wrapText="true" indent="0" shrinkToFit="false"/>
      <protection locked="true" hidden="false"/>
    </xf>
    <xf numFmtId="170" fontId="7" fillId="0" borderId="2" xfId="0" applyFont="true" applyBorder="true" applyAlignment="true" applyProtection="false">
      <alignment horizontal="general" vertical="top" textRotation="0" wrapText="true" indent="0" shrinkToFit="false"/>
      <protection locked="true" hidden="false"/>
    </xf>
    <xf numFmtId="167" fontId="8" fillId="2" borderId="2" xfId="0" applyFont="true" applyBorder="true" applyAlignment="true" applyProtection="false">
      <alignment horizontal="general" vertical="top" textRotation="0" wrapText="true" indent="0" shrinkToFit="false"/>
      <protection locked="true" hidden="false"/>
    </xf>
    <xf numFmtId="166" fontId="8" fillId="2" borderId="2" xfId="0" applyFont="true" applyBorder="true" applyAlignment="true" applyProtection="false">
      <alignment horizontal="general" vertical="top" textRotation="0" wrapText="true" indent="0" shrinkToFit="false"/>
      <protection locked="true" hidden="false"/>
    </xf>
    <xf numFmtId="166" fontId="7" fillId="0" borderId="2" xfId="0" applyFont="true" applyBorder="true" applyAlignment="true" applyProtection="false">
      <alignment horizontal="general" vertical="top" textRotation="0" wrapText="true" indent="0" shrinkToFit="false"/>
      <protection locked="true" hidden="false"/>
    </xf>
    <xf numFmtId="168" fontId="8" fillId="2" borderId="2" xfId="0" applyFont="true" applyBorder="true" applyAlignment="true" applyProtection="false">
      <alignment horizontal="general" vertical="top" textRotation="0" wrapText="true" indent="0" shrinkToFit="false"/>
      <protection locked="true" hidden="false"/>
    </xf>
    <xf numFmtId="169" fontId="7" fillId="0" borderId="2" xfId="0" applyFont="true" applyBorder="true" applyAlignment="true" applyProtection="false">
      <alignment horizontal="general" vertical="top" textRotation="0" wrapText="true" indent="0" shrinkToFit="false"/>
      <protection locked="true" hidden="false"/>
    </xf>
    <xf numFmtId="174" fontId="7" fillId="0" borderId="2" xfId="0" applyFont="true" applyBorder="true" applyAlignment="true" applyProtection="false">
      <alignment horizontal="general" vertical="top" textRotation="0" wrapText="true" indent="0" shrinkToFit="false"/>
      <protection locked="true" hidden="false"/>
    </xf>
    <xf numFmtId="175" fontId="7" fillId="0" borderId="2" xfId="0" applyFont="true" applyBorder="true" applyAlignment="true" applyProtection="false">
      <alignment horizontal="general" vertical="top" textRotation="0" wrapText="true" indent="0" shrinkToFit="false"/>
      <protection locked="true" hidden="false"/>
    </xf>
    <xf numFmtId="171" fontId="7" fillId="0" borderId="2" xfId="0" applyFont="true" applyBorder="true" applyAlignment="true" applyProtection="false">
      <alignment horizontal="center" vertical="top" textRotation="0" wrapText="true" indent="0" shrinkToFit="false"/>
      <protection locked="true" hidden="false"/>
    </xf>
    <xf numFmtId="169" fontId="6"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71" fontId="6" fillId="0" borderId="2"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E7E6E1"/>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FFF2A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6E1"/>
      <rgbColor rgb="FFCCFFFF"/>
      <rgbColor rgb="FF660066"/>
      <rgbColor rgb="FFFF8080"/>
      <rgbColor rgb="FF0066CC"/>
      <rgbColor rgb="FFD5D3CC"/>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66699"/>
      <rgbColor rgb="FF9C9A92"/>
      <rgbColor rgb="FF003366"/>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 Id="rId24" Type="http://schemas.openxmlformats.org/officeDocument/2006/relationships/worksheet" Target="worksheets/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6.xml.rels><?xml version="1.0" encoding="UTF-8"?>
<Relationships xmlns="http://schemas.openxmlformats.org/package/2006/relationships"><Relationship Id="rId1" Type="http://schemas.openxmlformats.org/officeDocument/2006/relationships/drawing" Target="../drawings/drawing6.xml"/>
</Relationships>
</file>

<file path=xl/worksheets/_rels/sheet1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143.2" hidden="false" customHeight="false" outlineLevel="0" collapsed="false">
      <c r="A5" s="3" t="s">
        <v>4</v>
      </c>
      <c r="B5" s="4" t="s">
        <v>1719</v>
      </c>
    </row>
    <row r="6" customFormat="false" ht="46.25" hidden="false" customHeight="false" outlineLevel="0" collapsed="false">
      <c r="A6" s="3" t="s">
        <v>6</v>
      </c>
      <c r="B6" s="4" t="s">
        <v>7</v>
      </c>
    </row>
    <row r="7" customFormat="false" ht="35.05" hidden="false" customHeight="false" outlineLevel="0" collapsed="false">
      <c r="A7" s="3" t="s">
        <v>8</v>
      </c>
      <c r="B7" s="4" t="s">
        <v>9</v>
      </c>
    </row>
    <row r="8" customFormat="false" ht="46.25" hidden="false" customHeight="false" outlineLevel="0" collapsed="false">
      <c r="A8" s="3" t="s">
        <v>10</v>
      </c>
      <c r="B8" s="4" t="s">
        <v>11</v>
      </c>
    </row>
    <row r="9" customFormat="false" ht="35.05" hidden="false" customHeight="false" outlineLevel="0" collapsed="false">
      <c r="A9" s="3" t="s">
        <v>12</v>
      </c>
      <c r="B9" s="4" t="s">
        <v>13</v>
      </c>
    </row>
    <row r="10" customFormat="false" ht="50.4" hidden="false" customHeight="false" outlineLevel="0" collapsed="false">
      <c r="A10" s="3" t="s">
        <v>14</v>
      </c>
      <c r="B10" s="4" t="s">
        <v>1811</v>
      </c>
    </row>
    <row r="11" customFormat="false" ht="23.85" hidden="false" customHeight="false" outlineLevel="0" collapsed="false">
      <c r="A11" s="3" t="s">
        <v>16</v>
      </c>
      <c r="B11" s="4" t="s">
        <v>17</v>
      </c>
    </row>
    <row r="12" customFormat="false" ht="23.85" hidden="false" customHeight="false" outlineLevel="0" collapsed="false">
      <c r="A12" s="3" t="s">
        <v>18</v>
      </c>
      <c r="B12" s="4" t="s">
        <v>19</v>
      </c>
    </row>
    <row r="13" customFormat="false" ht="15" hidden="false" customHeight="false" outlineLevel="0" collapsed="false">
      <c r="A13" s="3" t="s">
        <v>20</v>
      </c>
      <c r="B13" s="4" t="s">
        <v>21</v>
      </c>
    </row>
    <row r="14" customFormat="false" ht="23.85" hidden="false" customHeight="false" outlineLevel="0" collapsed="false">
      <c r="A14" s="3" t="s">
        <v>22</v>
      </c>
      <c r="B14" s="4" t="s">
        <v>23</v>
      </c>
    </row>
    <row r="15" customFormat="false" ht="35.05" hidden="false" customHeight="false" outlineLevel="0" collapsed="false">
      <c r="A15" s="3" t="s">
        <v>24</v>
      </c>
      <c r="B15" s="4" t="s">
        <v>25</v>
      </c>
    </row>
    <row r="16" customFormat="false" ht="23.85" hidden="false" customHeight="false" outlineLevel="0" collapsed="false">
      <c r="A16" s="3" t="s">
        <v>26</v>
      </c>
      <c r="B16" s="4" t="s">
        <v>27</v>
      </c>
    </row>
    <row r="17" customFormat="false" ht="35.05" hidden="false" customHeight="false" outlineLevel="0" collapsed="false">
      <c r="A17" s="3" t="s">
        <v>28</v>
      </c>
      <c r="B17" s="4" t="s">
        <v>29</v>
      </c>
    </row>
    <row r="19" customFormat="false" ht="15" hidden="false" customHeight="false" outlineLevel="0" collapsed="false">
      <c r="A19" s="5" t="s">
        <v>30</v>
      </c>
    </row>
    <row r="20" customFormat="false" ht="15" hidden="false" customHeight="false" outlineLevel="0" collapsed="false">
      <c r="A20" s="6" t="n">
        <v>70</v>
      </c>
      <c r="B20" s="7" t="s">
        <v>31</v>
      </c>
    </row>
    <row r="21" customFormat="false" ht="15" hidden="false" customHeight="false" outlineLevel="0" collapsed="false">
      <c r="A21" s="8" t="n">
        <f aca="false">A20*1.5</f>
        <v>105</v>
      </c>
      <c r="B21" s="7" t="s">
        <v>32</v>
      </c>
    </row>
    <row r="22" customFormat="false" ht="15" hidden="false" customHeight="false" outlineLevel="0" collapsed="false">
      <c r="A22" s="9" t="n">
        <v>0.05</v>
      </c>
      <c r="B22" s="7" t="s">
        <v>33</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34"/>
    <col collapsed="false" customWidth="true" hidden="false" outlineLevel="0" max="4" min="4" style="0" width="38"/>
    <col collapsed="false" customWidth="true" hidden="false" outlineLevel="0" max="5" min="5" style="0" width="12"/>
    <col collapsed="false" customWidth="true" hidden="false" outlineLevel="0" max="6" min="6" style="0" width="17"/>
    <col collapsed="false" customWidth="true" hidden="false" outlineLevel="0" max="7" min="7" style="0" width="20"/>
    <col collapsed="false" customWidth="true" hidden="false" outlineLevel="0" max="8" min="8" style="0" width="18"/>
    <col collapsed="false" customWidth="true" hidden="false" outlineLevel="0" max="9" min="9" style="0" width="46"/>
    <col collapsed="false" customWidth="true" hidden="false" outlineLevel="0" max="10" min="10" style="0" width="24"/>
  </cols>
  <sheetData>
    <row r="1" customFormat="false" ht="17.35" hidden="false" customHeight="false" outlineLevel="0" collapsed="false">
      <c r="A1" s="1" t="s">
        <v>34</v>
      </c>
    </row>
    <row r="2" customFormat="false" ht="15" hidden="false" customHeight="false" outlineLevel="0" collapsed="false">
      <c r="A2" s="2" t="s">
        <v>35</v>
      </c>
    </row>
    <row r="4" customFormat="false" ht="23.85" hidden="false" customHeight="false" outlineLevel="0" collapsed="false">
      <c r="A4" s="10" t="s">
        <v>36</v>
      </c>
      <c r="B4" s="10" t="s">
        <v>37</v>
      </c>
      <c r="C4" s="10" t="s">
        <v>38</v>
      </c>
      <c r="D4" s="10" t="s">
        <v>39</v>
      </c>
      <c r="E4" s="10" t="s">
        <v>40</v>
      </c>
      <c r="F4" s="10" t="s">
        <v>41</v>
      </c>
      <c r="G4" s="10" t="s">
        <v>42</v>
      </c>
      <c r="H4" s="10" t="s">
        <v>43</v>
      </c>
      <c r="I4" s="10" t="s">
        <v>44</v>
      </c>
      <c r="J4" s="10" t="s">
        <v>45</v>
      </c>
    </row>
    <row r="5" customFormat="false" ht="23.85" hidden="false" customHeight="false" outlineLevel="0" collapsed="false">
      <c r="A5" s="11" t="s">
        <v>46</v>
      </c>
      <c r="B5" s="11" t="s">
        <v>47</v>
      </c>
      <c r="C5" s="11" t="s">
        <v>48</v>
      </c>
      <c r="D5" s="12" t="n">
        <v>70</v>
      </c>
      <c r="E5" s="11" t="s">
        <v>49</v>
      </c>
      <c r="F5" s="11" t="s">
        <v>50</v>
      </c>
      <c r="G5" s="11" t="s">
        <v>51</v>
      </c>
      <c r="H5" s="11" t="s">
        <v>52</v>
      </c>
      <c r="I5" s="11" t="s">
        <v>53</v>
      </c>
      <c r="J5" s="11" t="s">
        <v>54</v>
      </c>
    </row>
    <row r="6" customFormat="false" ht="23.85" hidden="false" customHeight="false" outlineLevel="0" collapsed="false">
      <c r="A6" s="11" t="s">
        <v>55</v>
      </c>
      <c r="B6" s="11" t="s">
        <v>47</v>
      </c>
      <c r="C6" s="11" t="s">
        <v>56</v>
      </c>
      <c r="D6" s="12" t="s">
        <v>57</v>
      </c>
      <c r="E6" s="11" t="s">
        <v>58</v>
      </c>
      <c r="F6" s="11" t="s">
        <v>50</v>
      </c>
      <c r="G6" s="11" t="s">
        <v>51</v>
      </c>
      <c r="H6" s="11" t="s">
        <v>52</v>
      </c>
      <c r="I6" s="11" t="s">
        <v>59</v>
      </c>
      <c r="J6" s="11" t="s">
        <v>54</v>
      </c>
    </row>
    <row r="7" customFormat="false" ht="23.85" hidden="false" customHeight="false" outlineLevel="0" collapsed="false">
      <c r="A7" s="11" t="s">
        <v>60</v>
      </c>
      <c r="B7" s="11" t="s">
        <v>47</v>
      </c>
      <c r="C7" s="11" t="s">
        <v>61</v>
      </c>
      <c r="D7" s="12" t="n">
        <v>20</v>
      </c>
      <c r="E7" s="11" t="s">
        <v>62</v>
      </c>
      <c r="F7" s="11" t="s">
        <v>50</v>
      </c>
      <c r="G7" s="11" t="s">
        <v>51</v>
      </c>
      <c r="H7" s="11" t="s">
        <v>63</v>
      </c>
      <c r="I7" s="11" t="s">
        <v>64</v>
      </c>
      <c r="J7" s="11" t="s">
        <v>65</v>
      </c>
    </row>
    <row r="8" customFormat="false" ht="38.8" hidden="false" customHeight="false" outlineLevel="0" collapsed="false">
      <c r="A8" s="11" t="s">
        <v>66</v>
      </c>
      <c r="B8" s="11" t="s">
        <v>47</v>
      </c>
      <c r="C8" s="11" t="s">
        <v>67</v>
      </c>
      <c r="D8" s="12" t="s">
        <v>68</v>
      </c>
      <c r="E8" s="11" t="s">
        <v>1812</v>
      </c>
      <c r="F8" s="11" t="s">
        <v>50</v>
      </c>
      <c r="G8" s="11" t="s">
        <v>51</v>
      </c>
      <c r="H8" s="11" t="s">
        <v>70</v>
      </c>
      <c r="I8" s="11" t="s">
        <v>71</v>
      </c>
      <c r="J8" s="11" t="s">
        <v>65</v>
      </c>
    </row>
    <row r="9" customFormat="false" ht="50.4" hidden="false" customHeight="false" outlineLevel="0" collapsed="false">
      <c r="A9" s="11" t="s">
        <v>72</v>
      </c>
      <c r="B9" s="11" t="s">
        <v>47</v>
      </c>
      <c r="C9" s="11" t="s">
        <v>73</v>
      </c>
      <c r="D9" s="12" t="s">
        <v>74</v>
      </c>
      <c r="E9" s="11" t="s">
        <v>1813</v>
      </c>
      <c r="F9" s="11" t="s">
        <v>50</v>
      </c>
      <c r="G9" s="11" t="s">
        <v>51</v>
      </c>
      <c r="H9" s="11" t="s">
        <v>75</v>
      </c>
      <c r="I9" s="11" t="s">
        <v>76</v>
      </c>
      <c r="J9" s="11" t="s">
        <v>65</v>
      </c>
    </row>
    <row r="10" customFormat="false" ht="38.8" hidden="false" customHeight="false" outlineLevel="0" collapsed="false">
      <c r="A10" s="11" t="s">
        <v>77</v>
      </c>
      <c r="B10" s="11" t="s">
        <v>47</v>
      </c>
      <c r="C10" s="11" t="s">
        <v>78</v>
      </c>
      <c r="D10" s="12" t="s">
        <v>79</v>
      </c>
      <c r="E10" s="11" t="s">
        <v>1814</v>
      </c>
      <c r="F10" s="11" t="s">
        <v>50</v>
      </c>
      <c r="G10" s="11" t="s">
        <v>51</v>
      </c>
      <c r="H10" s="11" t="s">
        <v>70</v>
      </c>
      <c r="I10" s="11" t="s">
        <v>80</v>
      </c>
      <c r="J10" s="11" t="s">
        <v>65</v>
      </c>
    </row>
    <row r="11" customFormat="false" ht="27.2" hidden="false" customHeight="false" outlineLevel="0" collapsed="false">
      <c r="A11" s="11" t="s">
        <v>81</v>
      </c>
      <c r="B11" s="11" t="s">
        <v>47</v>
      </c>
      <c r="C11" s="11" t="s">
        <v>82</v>
      </c>
      <c r="D11" s="12" t="s">
        <v>83</v>
      </c>
      <c r="E11" s="11" t="s">
        <v>1815</v>
      </c>
      <c r="F11" s="11" t="s">
        <v>50</v>
      </c>
      <c r="G11" s="11" t="s">
        <v>84</v>
      </c>
      <c r="H11" s="11" t="s">
        <v>85</v>
      </c>
      <c r="I11" s="11" t="s">
        <v>86</v>
      </c>
      <c r="J11" s="11" t="s">
        <v>54</v>
      </c>
    </row>
    <row r="12" customFormat="false" ht="38.8" hidden="false" customHeight="false" outlineLevel="0" collapsed="false">
      <c r="A12" s="11" t="s">
        <v>87</v>
      </c>
      <c r="B12" s="11" t="s">
        <v>47</v>
      </c>
      <c r="C12" s="11" t="s">
        <v>88</v>
      </c>
      <c r="D12" s="12" t="s">
        <v>89</v>
      </c>
      <c r="E12" s="11" t="s">
        <v>1816</v>
      </c>
      <c r="F12" s="11" t="s">
        <v>50</v>
      </c>
      <c r="G12" s="11" t="s">
        <v>90</v>
      </c>
      <c r="H12" s="11" t="s">
        <v>91</v>
      </c>
      <c r="I12" s="11" t="s">
        <v>92</v>
      </c>
      <c r="J12" s="11" t="s">
        <v>65</v>
      </c>
    </row>
    <row r="13" customFormat="false" ht="62" hidden="false" customHeight="false" outlineLevel="0" collapsed="false">
      <c r="A13" s="11" t="s">
        <v>93</v>
      </c>
      <c r="B13" s="11" t="s">
        <v>94</v>
      </c>
      <c r="C13" s="11" t="s">
        <v>95</v>
      </c>
      <c r="D13" s="12" t="s">
        <v>1682</v>
      </c>
      <c r="E13" s="11" t="s">
        <v>1817</v>
      </c>
      <c r="F13" s="11" t="s">
        <v>50</v>
      </c>
      <c r="G13" s="11" t="s">
        <v>51</v>
      </c>
      <c r="H13" s="11" t="s">
        <v>97</v>
      </c>
      <c r="I13" s="11" t="s">
        <v>98</v>
      </c>
      <c r="J13" s="11" t="s">
        <v>99</v>
      </c>
    </row>
    <row r="14" customFormat="false" ht="50.4" hidden="false" customHeight="false" outlineLevel="0" collapsed="false">
      <c r="A14" s="11" t="s">
        <v>100</v>
      </c>
      <c r="B14" s="11" t="s">
        <v>94</v>
      </c>
      <c r="C14" s="11" t="s">
        <v>101</v>
      </c>
      <c r="D14" s="12" t="s">
        <v>102</v>
      </c>
      <c r="E14" s="11" t="s">
        <v>1818</v>
      </c>
      <c r="F14" s="11" t="s">
        <v>50</v>
      </c>
      <c r="G14" s="11" t="s">
        <v>103</v>
      </c>
      <c r="H14" s="11" t="s">
        <v>104</v>
      </c>
      <c r="I14" s="11" t="s">
        <v>105</v>
      </c>
      <c r="J14" s="11" t="s">
        <v>99</v>
      </c>
    </row>
    <row r="15" customFormat="false" ht="38.8" hidden="false" customHeight="false" outlineLevel="0" collapsed="false">
      <c r="A15" s="11" t="s">
        <v>106</v>
      </c>
      <c r="B15" s="11" t="s">
        <v>94</v>
      </c>
      <c r="C15" s="11" t="s">
        <v>107</v>
      </c>
      <c r="D15" s="12" t="s">
        <v>108</v>
      </c>
      <c r="E15" s="11" t="s">
        <v>1819</v>
      </c>
      <c r="F15" s="11" t="s">
        <v>50</v>
      </c>
      <c r="G15" s="11" t="s">
        <v>103</v>
      </c>
      <c r="H15" s="11" t="s">
        <v>104</v>
      </c>
      <c r="I15" s="11" t="s">
        <v>109</v>
      </c>
      <c r="J15" s="11" t="s">
        <v>110</v>
      </c>
    </row>
    <row r="16" customFormat="false" ht="62" hidden="false" customHeight="false" outlineLevel="0" collapsed="false">
      <c r="A16" s="11" t="s">
        <v>111</v>
      </c>
      <c r="B16" s="11" t="s">
        <v>94</v>
      </c>
      <c r="C16" s="11" t="s">
        <v>112</v>
      </c>
      <c r="D16" s="12" t="s">
        <v>1683</v>
      </c>
      <c r="E16" s="11" t="s">
        <v>1820</v>
      </c>
      <c r="F16" s="11" t="s">
        <v>50</v>
      </c>
      <c r="G16" s="11" t="s">
        <v>51</v>
      </c>
      <c r="H16" s="11" t="s">
        <v>114</v>
      </c>
      <c r="I16" s="11" t="s">
        <v>115</v>
      </c>
      <c r="J16" s="11" t="s">
        <v>110</v>
      </c>
    </row>
    <row r="17" customFormat="false" ht="27.2" hidden="false" customHeight="false" outlineLevel="0" collapsed="false">
      <c r="A17" s="11" t="s">
        <v>116</v>
      </c>
      <c r="B17" s="11" t="s">
        <v>94</v>
      </c>
      <c r="C17" s="11" t="s">
        <v>117</v>
      </c>
      <c r="D17" s="12" t="s">
        <v>118</v>
      </c>
      <c r="E17" s="11" t="s">
        <v>1821</v>
      </c>
      <c r="F17" s="11" t="s">
        <v>50</v>
      </c>
      <c r="G17" s="11" t="s">
        <v>51</v>
      </c>
      <c r="H17" s="11" t="s">
        <v>119</v>
      </c>
      <c r="I17" s="11" t="s">
        <v>120</v>
      </c>
      <c r="J17" s="11" t="s">
        <v>121</v>
      </c>
    </row>
    <row r="18" customFormat="false" ht="23.85" hidden="false" customHeight="false" outlineLevel="0" collapsed="false">
      <c r="A18" s="11" t="s">
        <v>122</v>
      </c>
      <c r="B18" s="11" t="s">
        <v>94</v>
      </c>
      <c r="C18" s="11" t="s">
        <v>123</v>
      </c>
      <c r="D18" s="12" t="s">
        <v>124</v>
      </c>
      <c r="E18" s="11" t="s">
        <v>125</v>
      </c>
      <c r="F18" s="11" t="s">
        <v>50</v>
      </c>
      <c r="G18" s="11" t="s">
        <v>84</v>
      </c>
      <c r="H18" s="11" t="s">
        <v>85</v>
      </c>
      <c r="I18" s="11" t="s">
        <v>126</v>
      </c>
      <c r="J18" s="11" t="s">
        <v>121</v>
      </c>
    </row>
    <row r="19" customFormat="false" ht="38.8" hidden="false" customHeight="false" outlineLevel="0" collapsed="false">
      <c r="A19" s="11" t="s">
        <v>127</v>
      </c>
      <c r="B19" s="11" t="s">
        <v>94</v>
      </c>
      <c r="C19" s="11" t="s">
        <v>128</v>
      </c>
      <c r="D19" s="12" t="s">
        <v>1684</v>
      </c>
      <c r="E19" s="11" t="s">
        <v>130</v>
      </c>
      <c r="F19" s="11" t="s">
        <v>50</v>
      </c>
      <c r="G19" s="11" t="s">
        <v>84</v>
      </c>
      <c r="H19" s="11" t="s">
        <v>131</v>
      </c>
      <c r="I19" s="11" t="s">
        <v>132</v>
      </c>
      <c r="J19" s="11" t="s">
        <v>121</v>
      </c>
    </row>
    <row r="20" customFormat="false" ht="23.85" hidden="false" customHeight="false" outlineLevel="0" collapsed="false">
      <c r="A20" s="11" t="s">
        <v>133</v>
      </c>
      <c r="B20" s="11" t="s">
        <v>94</v>
      </c>
      <c r="C20" s="11" t="s">
        <v>134</v>
      </c>
      <c r="D20" s="12" t="s">
        <v>135</v>
      </c>
      <c r="E20" s="11" t="s">
        <v>136</v>
      </c>
      <c r="F20" s="11" t="s">
        <v>50</v>
      </c>
      <c r="G20" s="11" t="s">
        <v>90</v>
      </c>
      <c r="H20" s="11" t="s">
        <v>137</v>
      </c>
      <c r="I20" s="11" t="s">
        <v>138</v>
      </c>
      <c r="J20" s="11" t="s">
        <v>121</v>
      </c>
    </row>
    <row r="21" customFormat="false" ht="23.85" hidden="false" customHeight="false" outlineLevel="0" collapsed="false">
      <c r="A21" s="11" t="s">
        <v>139</v>
      </c>
      <c r="B21" s="11" t="s">
        <v>94</v>
      </c>
      <c r="C21" s="11" t="s">
        <v>140</v>
      </c>
      <c r="D21" s="12" t="s">
        <v>141</v>
      </c>
      <c r="E21" s="11" t="s">
        <v>142</v>
      </c>
      <c r="F21" s="11" t="s">
        <v>50</v>
      </c>
      <c r="G21" s="11" t="s">
        <v>51</v>
      </c>
      <c r="H21" s="11" t="s">
        <v>143</v>
      </c>
      <c r="I21" s="11" t="s">
        <v>144</v>
      </c>
      <c r="J21" s="11" t="s">
        <v>99</v>
      </c>
    </row>
    <row r="22" customFormat="false" ht="23.85" hidden="false" customHeight="false" outlineLevel="0" collapsed="false">
      <c r="A22" s="11" t="s">
        <v>145</v>
      </c>
      <c r="B22" s="11" t="s">
        <v>146</v>
      </c>
      <c r="C22" s="11" t="s">
        <v>147</v>
      </c>
      <c r="D22" s="12" t="s">
        <v>148</v>
      </c>
      <c r="E22" s="11" t="s">
        <v>149</v>
      </c>
      <c r="F22" s="11" t="s">
        <v>50</v>
      </c>
      <c r="G22" s="11" t="s">
        <v>51</v>
      </c>
      <c r="H22" s="11" t="s">
        <v>150</v>
      </c>
      <c r="I22" s="11" t="s">
        <v>151</v>
      </c>
      <c r="J22" s="11" t="s">
        <v>99</v>
      </c>
    </row>
    <row r="23" customFormat="false" ht="73.6" hidden="false" customHeight="false" outlineLevel="0" collapsed="false">
      <c r="A23" s="11" t="s">
        <v>152</v>
      </c>
      <c r="B23" s="11" t="s">
        <v>146</v>
      </c>
      <c r="C23" s="11" t="s">
        <v>153</v>
      </c>
      <c r="D23" s="12" t="s">
        <v>1685</v>
      </c>
      <c r="E23" s="11" t="s">
        <v>1822</v>
      </c>
      <c r="F23" s="11" t="s">
        <v>50</v>
      </c>
      <c r="G23" s="11" t="s">
        <v>51</v>
      </c>
      <c r="H23" s="11" t="s">
        <v>155</v>
      </c>
      <c r="I23" s="11" t="s">
        <v>156</v>
      </c>
      <c r="J23" s="11" t="s">
        <v>99</v>
      </c>
    </row>
    <row r="24" customFormat="false" ht="38.8" hidden="false" customHeight="false" outlineLevel="0" collapsed="false">
      <c r="A24" s="11" t="s">
        <v>157</v>
      </c>
      <c r="B24" s="11" t="s">
        <v>146</v>
      </c>
      <c r="C24" s="11" t="s">
        <v>158</v>
      </c>
      <c r="D24" s="12" t="s">
        <v>159</v>
      </c>
      <c r="E24" s="11" t="s">
        <v>1823</v>
      </c>
      <c r="F24" s="11" t="s">
        <v>50</v>
      </c>
      <c r="G24" s="11" t="s">
        <v>51</v>
      </c>
      <c r="H24" s="11" t="s">
        <v>160</v>
      </c>
      <c r="I24" s="11" t="s">
        <v>161</v>
      </c>
      <c r="J24" s="11" t="s">
        <v>121</v>
      </c>
    </row>
    <row r="25" customFormat="false" ht="23.85" hidden="false" customHeight="false" outlineLevel="0" collapsed="false">
      <c r="A25" s="11" t="s">
        <v>162</v>
      </c>
      <c r="B25" s="11" t="s">
        <v>146</v>
      </c>
      <c r="C25" s="11" t="s">
        <v>163</v>
      </c>
      <c r="D25" s="12" t="s">
        <v>164</v>
      </c>
      <c r="E25" s="11" t="s">
        <v>149</v>
      </c>
      <c r="F25" s="11" t="s">
        <v>50</v>
      </c>
      <c r="G25" s="11" t="s">
        <v>51</v>
      </c>
      <c r="H25" s="11" t="s">
        <v>165</v>
      </c>
      <c r="I25" s="11" t="s">
        <v>166</v>
      </c>
      <c r="J25" s="11" t="s">
        <v>121</v>
      </c>
    </row>
    <row r="26" customFormat="false" ht="23.85" hidden="false" customHeight="false" outlineLevel="0" collapsed="false">
      <c r="A26" s="11" t="s">
        <v>167</v>
      </c>
      <c r="B26" s="11" t="s">
        <v>146</v>
      </c>
      <c r="C26" s="11" t="s">
        <v>168</v>
      </c>
      <c r="D26" s="12" t="s">
        <v>169</v>
      </c>
      <c r="E26" s="11" t="s">
        <v>149</v>
      </c>
      <c r="F26" s="11" t="s">
        <v>50</v>
      </c>
      <c r="G26" s="11" t="s">
        <v>103</v>
      </c>
      <c r="H26" s="11" t="s">
        <v>170</v>
      </c>
      <c r="I26" s="11" t="s">
        <v>171</v>
      </c>
      <c r="J26" s="11" t="s">
        <v>99</v>
      </c>
    </row>
    <row r="27" customFormat="false" ht="85.2" hidden="false" customHeight="false" outlineLevel="0" collapsed="false">
      <c r="A27" s="11" t="s">
        <v>172</v>
      </c>
      <c r="B27" s="11" t="s">
        <v>146</v>
      </c>
      <c r="C27" s="11" t="s">
        <v>173</v>
      </c>
      <c r="D27" s="12" t="s">
        <v>1686</v>
      </c>
      <c r="E27" s="11" t="s">
        <v>175</v>
      </c>
      <c r="F27" s="11" t="s">
        <v>50</v>
      </c>
      <c r="G27" s="11" t="s">
        <v>103</v>
      </c>
      <c r="H27" s="11" t="s">
        <v>176</v>
      </c>
      <c r="I27" s="11" t="s">
        <v>177</v>
      </c>
      <c r="J27" s="11" t="s">
        <v>178</v>
      </c>
    </row>
    <row r="28" customFormat="false" ht="50.4" hidden="false" customHeight="false" outlineLevel="0" collapsed="false">
      <c r="A28" s="11" t="s">
        <v>179</v>
      </c>
      <c r="B28" s="11" t="s">
        <v>146</v>
      </c>
      <c r="C28" s="11" t="s">
        <v>180</v>
      </c>
      <c r="D28" s="12" t="s">
        <v>181</v>
      </c>
      <c r="E28" s="11" t="s">
        <v>149</v>
      </c>
      <c r="F28" s="11" t="s">
        <v>50</v>
      </c>
      <c r="G28" s="11" t="s">
        <v>103</v>
      </c>
      <c r="H28" s="11" t="s">
        <v>176</v>
      </c>
      <c r="I28" s="11" t="s">
        <v>1687</v>
      </c>
      <c r="J28" s="11" t="s">
        <v>121</v>
      </c>
    </row>
    <row r="29" customFormat="false" ht="38.8" hidden="false" customHeight="false" outlineLevel="0" collapsed="false">
      <c r="A29" s="11" t="s">
        <v>183</v>
      </c>
      <c r="B29" s="11" t="s">
        <v>146</v>
      </c>
      <c r="C29" s="11" t="s">
        <v>184</v>
      </c>
      <c r="D29" s="12" t="s">
        <v>185</v>
      </c>
      <c r="E29" s="11" t="s">
        <v>1824</v>
      </c>
      <c r="F29" s="11" t="s">
        <v>50</v>
      </c>
      <c r="G29" s="11" t="s">
        <v>103</v>
      </c>
      <c r="H29" s="11" t="s">
        <v>176</v>
      </c>
      <c r="I29" s="11" t="s">
        <v>186</v>
      </c>
      <c r="J29" s="11" t="s">
        <v>99</v>
      </c>
    </row>
    <row r="30" customFormat="false" ht="38.8" hidden="false" customHeight="false" outlineLevel="0" collapsed="false">
      <c r="A30" s="11" t="s">
        <v>187</v>
      </c>
      <c r="B30" s="11" t="s">
        <v>146</v>
      </c>
      <c r="C30" s="11" t="s">
        <v>188</v>
      </c>
      <c r="D30" s="12" t="s">
        <v>189</v>
      </c>
      <c r="E30" s="11" t="s">
        <v>1825</v>
      </c>
      <c r="F30" s="11" t="s">
        <v>50</v>
      </c>
      <c r="G30" s="11" t="s">
        <v>103</v>
      </c>
      <c r="H30" s="11" t="s">
        <v>176</v>
      </c>
      <c r="I30" s="11" t="s">
        <v>190</v>
      </c>
      <c r="J30" s="11" t="s">
        <v>191</v>
      </c>
    </row>
    <row r="31" customFormat="false" ht="46.25" hidden="false" customHeight="false" outlineLevel="0" collapsed="false">
      <c r="A31" s="11" t="s">
        <v>192</v>
      </c>
      <c r="B31" s="11" t="s">
        <v>146</v>
      </c>
      <c r="C31" s="11" t="s">
        <v>193</v>
      </c>
      <c r="D31" s="12" t="s">
        <v>194</v>
      </c>
      <c r="E31" s="11" t="s">
        <v>195</v>
      </c>
      <c r="F31" s="11" t="s">
        <v>50</v>
      </c>
      <c r="G31" s="11" t="s">
        <v>90</v>
      </c>
      <c r="H31" s="11" t="s">
        <v>137</v>
      </c>
      <c r="I31" s="11" t="s">
        <v>196</v>
      </c>
      <c r="J31" s="11" t="s">
        <v>110</v>
      </c>
    </row>
    <row r="32" customFormat="false" ht="35.05" hidden="false" customHeight="false" outlineLevel="0" collapsed="false">
      <c r="A32" s="11" t="s">
        <v>197</v>
      </c>
      <c r="B32" s="11" t="s">
        <v>146</v>
      </c>
      <c r="C32" s="11" t="s">
        <v>198</v>
      </c>
      <c r="D32" s="12" t="s">
        <v>199</v>
      </c>
      <c r="E32" s="11" t="s">
        <v>130</v>
      </c>
      <c r="F32" s="11" t="s">
        <v>50</v>
      </c>
      <c r="G32" s="11" t="s">
        <v>84</v>
      </c>
      <c r="H32" s="11" t="s">
        <v>200</v>
      </c>
      <c r="I32" s="11" t="s">
        <v>201</v>
      </c>
      <c r="J32" s="11" t="s">
        <v>110</v>
      </c>
    </row>
    <row r="33" customFormat="false" ht="38.8" hidden="false" customHeight="false" outlineLevel="0" collapsed="false">
      <c r="A33" s="11" t="s">
        <v>202</v>
      </c>
      <c r="B33" s="11" t="s">
        <v>146</v>
      </c>
      <c r="C33" s="11" t="s">
        <v>203</v>
      </c>
      <c r="D33" s="12" t="s">
        <v>204</v>
      </c>
      <c r="E33" s="11" t="s">
        <v>1826</v>
      </c>
      <c r="F33" s="11" t="s">
        <v>50</v>
      </c>
      <c r="G33" s="11" t="s">
        <v>103</v>
      </c>
      <c r="H33" s="11" t="s">
        <v>104</v>
      </c>
      <c r="I33" s="11" t="s">
        <v>205</v>
      </c>
      <c r="J33" s="11" t="s">
        <v>65</v>
      </c>
    </row>
    <row r="34" customFormat="false" ht="38.8" hidden="false" customHeight="false" outlineLevel="0" collapsed="false">
      <c r="A34" s="11" t="s">
        <v>206</v>
      </c>
      <c r="B34" s="11" t="s">
        <v>207</v>
      </c>
      <c r="C34" s="11" t="s">
        <v>208</v>
      </c>
      <c r="D34" s="12" t="s">
        <v>209</v>
      </c>
      <c r="E34" s="11" t="s">
        <v>1827</v>
      </c>
      <c r="F34" s="11" t="s">
        <v>50</v>
      </c>
      <c r="G34" s="11" t="s">
        <v>103</v>
      </c>
      <c r="H34" s="11" t="s">
        <v>210</v>
      </c>
      <c r="I34" s="11" t="s">
        <v>211</v>
      </c>
      <c r="J34" s="11" t="s">
        <v>110</v>
      </c>
    </row>
    <row r="35" customFormat="false" ht="35.05" hidden="false" customHeight="false" outlineLevel="0" collapsed="false">
      <c r="A35" s="11" t="s">
        <v>212</v>
      </c>
      <c r="B35" s="11" t="s">
        <v>207</v>
      </c>
      <c r="C35" s="11" t="s">
        <v>213</v>
      </c>
      <c r="D35" s="12" t="s">
        <v>214</v>
      </c>
      <c r="E35" s="11" t="s">
        <v>215</v>
      </c>
      <c r="F35" s="11" t="s">
        <v>50</v>
      </c>
      <c r="G35" s="11" t="s">
        <v>90</v>
      </c>
      <c r="H35" s="11" t="s">
        <v>91</v>
      </c>
      <c r="I35" s="11" t="s">
        <v>216</v>
      </c>
      <c r="J35" s="11" t="s">
        <v>110</v>
      </c>
    </row>
    <row r="36" customFormat="false" ht="27.2" hidden="false" customHeight="false" outlineLevel="0" collapsed="false">
      <c r="A36" s="11" t="s">
        <v>217</v>
      </c>
      <c r="B36" s="11" t="s">
        <v>207</v>
      </c>
      <c r="C36" s="11" t="s">
        <v>218</v>
      </c>
      <c r="D36" s="12" t="s">
        <v>219</v>
      </c>
      <c r="E36" s="11" t="s">
        <v>1828</v>
      </c>
      <c r="F36" s="11" t="s">
        <v>50</v>
      </c>
      <c r="G36" s="11" t="s">
        <v>84</v>
      </c>
      <c r="H36" s="11" t="s">
        <v>220</v>
      </c>
      <c r="I36" s="11" t="s">
        <v>221</v>
      </c>
      <c r="J36" s="11" t="s">
        <v>110</v>
      </c>
    </row>
    <row r="37" customFormat="false" ht="38.8" hidden="false" customHeight="false" outlineLevel="0" collapsed="false">
      <c r="A37" s="11" t="s">
        <v>222</v>
      </c>
      <c r="B37" s="11" t="s">
        <v>207</v>
      </c>
      <c r="C37" s="11" t="s">
        <v>223</v>
      </c>
      <c r="D37" s="12" t="s">
        <v>224</v>
      </c>
      <c r="E37" s="11" t="s">
        <v>1829</v>
      </c>
      <c r="F37" s="11" t="s">
        <v>50</v>
      </c>
      <c r="G37" s="11" t="s">
        <v>225</v>
      </c>
      <c r="H37" s="11" t="s">
        <v>226</v>
      </c>
      <c r="I37" s="11" t="s">
        <v>227</v>
      </c>
      <c r="J37" s="11" t="s">
        <v>110</v>
      </c>
    </row>
    <row r="38" customFormat="false" ht="50.4" hidden="false" customHeight="false" outlineLevel="0" collapsed="false">
      <c r="A38" s="11" t="s">
        <v>228</v>
      </c>
      <c r="B38" s="11" t="s">
        <v>207</v>
      </c>
      <c r="C38" s="11" t="s">
        <v>229</v>
      </c>
      <c r="D38" s="12" t="s">
        <v>230</v>
      </c>
      <c r="E38" s="11" t="s">
        <v>1830</v>
      </c>
      <c r="F38" s="11" t="s">
        <v>50</v>
      </c>
      <c r="G38" s="11" t="s">
        <v>51</v>
      </c>
      <c r="H38" s="11" t="s">
        <v>231</v>
      </c>
      <c r="I38" s="11" t="s">
        <v>232</v>
      </c>
      <c r="J38" s="11" t="s">
        <v>65</v>
      </c>
    </row>
    <row r="39" customFormat="false" ht="23.85" hidden="false" customHeight="false" outlineLevel="0" collapsed="false">
      <c r="A39" s="11" t="s">
        <v>233</v>
      </c>
      <c r="B39" s="11" t="s">
        <v>234</v>
      </c>
      <c r="C39" s="11" t="s">
        <v>235</v>
      </c>
      <c r="D39" s="12" t="s">
        <v>236</v>
      </c>
      <c r="E39" s="11" t="s">
        <v>237</v>
      </c>
      <c r="F39" s="11" t="s">
        <v>50</v>
      </c>
      <c r="G39" s="11" t="s">
        <v>51</v>
      </c>
      <c r="H39" s="11" t="s">
        <v>238</v>
      </c>
      <c r="I39" s="11" t="s">
        <v>239</v>
      </c>
      <c r="J39" s="11" t="s">
        <v>234</v>
      </c>
    </row>
    <row r="40" customFormat="false" ht="23.85" hidden="false" customHeight="false" outlineLevel="0" collapsed="false">
      <c r="A40" s="11" t="s">
        <v>240</v>
      </c>
      <c r="B40" s="11" t="s">
        <v>234</v>
      </c>
      <c r="C40" s="11" t="s">
        <v>241</v>
      </c>
      <c r="D40" s="12" t="s">
        <v>242</v>
      </c>
      <c r="E40" s="11" t="s">
        <v>243</v>
      </c>
      <c r="F40" s="11" t="s">
        <v>50</v>
      </c>
      <c r="G40" s="11" t="s">
        <v>51</v>
      </c>
      <c r="H40" s="11" t="s">
        <v>244</v>
      </c>
      <c r="I40" s="11" t="s">
        <v>245</v>
      </c>
      <c r="J40" s="11" t="s">
        <v>234</v>
      </c>
    </row>
    <row r="41" customFormat="false" ht="27.2" hidden="false" customHeight="false" outlineLevel="0" collapsed="false">
      <c r="A41" s="11" t="s">
        <v>246</v>
      </c>
      <c r="B41" s="11" t="s">
        <v>234</v>
      </c>
      <c r="C41" s="11" t="s">
        <v>247</v>
      </c>
      <c r="D41" s="12" t="s">
        <v>248</v>
      </c>
      <c r="E41" s="11" t="s">
        <v>1831</v>
      </c>
      <c r="F41" s="11" t="s">
        <v>50</v>
      </c>
      <c r="G41" s="11" t="s">
        <v>103</v>
      </c>
      <c r="H41" s="11" t="s">
        <v>176</v>
      </c>
      <c r="I41" s="11" t="s">
        <v>249</v>
      </c>
      <c r="J41" s="11" t="s">
        <v>234</v>
      </c>
    </row>
    <row r="42" customFormat="false" ht="23.85" hidden="false" customHeight="false" outlineLevel="0" collapsed="false">
      <c r="A42" s="11" t="s">
        <v>250</v>
      </c>
      <c r="B42" s="11" t="s">
        <v>234</v>
      </c>
      <c r="C42" s="11" t="s">
        <v>251</v>
      </c>
      <c r="D42" s="12" t="s">
        <v>252</v>
      </c>
      <c r="E42" s="11" t="s">
        <v>253</v>
      </c>
      <c r="F42" s="11" t="s">
        <v>50</v>
      </c>
      <c r="G42" s="11" t="s">
        <v>84</v>
      </c>
      <c r="H42" s="11" t="s">
        <v>254</v>
      </c>
      <c r="I42" s="11" t="s">
        <v>255</v>
      </c>
      <c r="J42" s="11" t="s">
        <v>234</v>
      </c>
    </row>
    <row r="43" customFormat="false" ht="15" hidden="false" customHeight="false" outlineLevel="0" collapsed="false">
      <c r="A43" s="11" t="s">
        <v>256</v>
      </c>
      <c r="B43" s="11" t="s">
        <v>234</v>
      </c>
      <c r="C43" s="11" t="s">
        <v>257</v>
      </c>
      <c r="D43" s="12" t="s">
        <v>258</v>
      </c>
      <c r="E43" s="11" t="s">
        <v>259</v>
      </c>
      <c r="F43" s="11" t="s">
        <v>50</v>
      </c>
      <c r="G43" s="11" t="s">
        <v>90</v>
      </c>
      <c r="H43" s="11" t="s">
        <v>260</v>
      </c>
      <c r="I43" s="11" t="s">
        <v>261</v>
      </c>
      <c r="J43" s="11" t="s">
        <v>234</v>
      </c>
    </row>
    <row r="44" customFormat="false" ht="35.05" hidden="false" customHeight="false" outlineLevel="0" collapsed="false">
      <c r="A44" s="11" t="s">
        <v>262</v>
      </c>
      <c r="B44" s="11" t="s">
        <v>234</v>
      </c>
      <c r="C44" s="11" t="s">
        <v>263</v>
      </c>
      <c r="D44" s="12" t="s">
        <v>264</v>
      </c>
      <c r="E44" s="11" t="s">
        <v>142</v>
      </c>
      <c r="F44" s="11" t="s">
        <v>50</v>
      </c>
      <c r="G44" s="11" t="s">
        <v>51</v>
      </c>
      <c r="H44" s="11" t="s">
        <v>265</v>
      </c>
      <c r="I44" s="11" t="s">
        <v>266</v>
      </c>
      <c r="J44" s="11" t="s">
        <v>234</v>
      </c>
    </row>
    <row r="45" customFormat="false" ht="38.8" hidden="false" customHeight="false" outlineLevel="0" collapsed="false">
      <c r="A45" s="11" t="s">
        <v>267</v>
      </c>
      <c r="B45" s="11" t="s">
        <v>234</v>
      </c>
      <c r="C45" s="11" t="s">
        <v>268</v>
      </c>
      <c r="D45" s="12" t="s">
        <v>1688</v>
      </c>
      <c r="E45" s="11" t="s">
        <v>270</v>
      </c>
      <c r="F45" s="11" t="s">
        <v>50</v>
      </c>
      <c r="G45" s="11" t="s">
        <v>51</v>
      </c>
      <c r="H45" s="11" t="s">
        <v>271</v>
      </c>
      <c r="I45" s="11" t="s">
        <v>272</v>
      </c>
      <c r="J45" s="11" t="s">
        <v>234</v>
      </c>
    </row>
    <row r="46" customFormat="false" ht="38.8" hidden="false" customHeight="false" outlineLevel="0" collapsed="false">
      <c r="A46" s="11" t="s">
        <v>273</v>
      </c>
      <c r="B46" s="11" t="s">
        <v>234</v>
      </c>
      <c r="C46" s="11" t="s">
        <v>274</v>
      </c>
      <c r="D46" s="12" t="s">
        <v>275</v>
      </c>
      <c r="E46" s="11" t="s">
        <v>1832</v>
      </c>
      <c r="F46" s="11" t="s">
        <v>50</v>
      </c>
      <c r="G46" s="11" t="s">
        <v>103</v>
      </c>
      <c r="H46" s="11" t="s">
        <v>210</v>
      </c>
      <c r="I46" s="11" t="s">
        <v>276</v>
      </c>
      <c r="J46" s="11" t="s">
        <v>191</v>
      </c>
    </row>
    <row r="47" customFormat="false" ht="27.2" hidden="false" customHeight="false" outlineLevel="0" collapsed="false">
      <c r="A47" s="11" t="s">
        <v>277</v>
      </c>
      <c r="B47" s="11" t="s">
        <v>234</v>
      </c>
      <c r="C47" s="11" t="s">
        <v>278</v>
      </c>
      <c r="D47" s="12" t="s">
        <v>279</v>
      </c>
      <c r="E47" s="11" t="s">
        <v>1833</v>
      </c>
      <c r="F47" s="11" t="s">
        <v>50</v>
      </c>
      <c r="G47" s="11" t="s">
        <v>90</v>
      </c>
      <c r="H47" s="11" t="s">
        <v>280</v>
      </c>
      <c r="I47" s="11" t="s">
        <v>281</v>
      </c>
      <c r="J47" s="11" t="s">
        <v>234</v>
      </c>
    </row>
    <row r="48" customFormat="false" ht="27.2" hidden="false" customHeight="false" outlineLevel="0" collapsed="false">
      <c r="A48" s="11" t="s">
        <v>282</v>
      </c>
      <c r="B48" s="11" t="s">
        <v>234</v>
      </c>
      <c r="C48" s="11" t="s">
        <v>283</v>
      </c>
      <c r="D48" s="12" t="s">
        <v>284</v>
      </c>
      <c r="E48" s="11" t="s">
        <v>1834</v>
      </c>
      <c r="F48" s="11" t="s">
        <v>50</v>
      </c>
      <c r="G48" s="11" t="s">
        <v>225</v>
      </c>
      <c r="H48" s="11" t="s">
        <v>285</v>
      </c>
      <c r="I48" s="11" t="s">
        <v>286</v>
      </c>
      <c r="J48" s="11" t="s">
        <v>234</v>
      </c>
    </row>
    <row r="49" customFormat="false" ht="23.85" hidden="false" customHeight="false" outlineLevel="0" collapsed="false">
      <c r="A49" s="11" t="s">
        <v>287</v>
      </c>
      <c r="B49" s="11" t="s">
        <v>288</v>
      </c>
      <c r="C49" s="11" t="s">
        <v>289</v>
      </c>
      <c r="D49" s="12" t="s">
        <v>290</v>
      </c>
      <c r="E49" s="11" t="s">
        <v>175</v>
      </c>
      <c r="F49" s="11" t="s">
        <v>50</v>
      </c>
      <c r="G49" s="11" t="s">
        <v>51</v>
      </c>
      <c r="H49" s="11" t="s">
        <v>291</v>
      </c>
      <c r="I49" s="11" t="s">
        <v>292</v>
      </c>
      <c r="J49" s="11" t="s">
        <v>191</v>
      </c>
    </row>
    <row r="50" customFormat="false" ht="27.2" hidden="false" customHeight="false" outlineLevel="0" collapsed="false">
      <c r="A50" s="11" t="s">
        <v>293</v>
      </c>
      <c r="B50" s="11" t="s">
        <v>288</v>
      </c>
      <c r="C50" s="11" t="s">
        <v>294</v>
      </c>
      <c r="D50" s="12" t="s">
        <v>295</v>
      </c>
      <c r="E50" s="11" t="s">
        <v>1835</v>
      </c>
      <c r="F50" s="11" t="s">
        <v>50</v>
      </c>
      <c r="G50" s="11" t="s">
        <v>51</v>
      </c>
      <c r="H50" s="11" t="s">
        <v>296</v>
      </c>
      <c r="I50" s="11" t="s">
        <v>297</v>
      </c>
      <c r="J50" s="11" t="s">
        <v>121</v>
      </c>
    </row>
    <row r="51" customFormat="false" ht="38.8" hidden="false" customHeight="false" outlineLevel="0" collapsed="false">
      <c r="A51" s="11" t="s">
        <v>298</v>
      </c>
      <c r="B51" s="11" t="s">
        <v>299</v>
      </c>
      <c r="C51" s="11" t="s">
        <v>1689</v>
      </c>
      <c r="D51" s="12" t="s">
        <v>301</v>
      </c>
      <c r="E51" s="11" t="s">
        <v>1836</v>
      </c>
      <c r="F51" s="11" t="s">
        <v>50</v>
      </c>
      <c r="G51" s="11" t="s">
        <v>51</v>
      </c>
      <c r="H51" s="11" t="s">
        <v>114</v>
      </c>
      <c r="I51" s="11" t="s">
        <v>302</v>
      </c>
      <c r="J51" s="11" t="s">
        <v>178</v>
      </c>
    </row>
    <row r="52" customFormat="false" ht="38.8" hidden="false" customHeight="false" outlineLevel="0" collapsed="false">
      <c r="A52" s="11" t="s">
        <v>303</v>
      </c>
      <c r="B52" s="11" t="s">
        <v>299</v>
      </c>
      <c r="C52" s="11" t="s">
        <v>304</v>
      </c>
      <c r="D52" s="12" t="s">
        <v>305</v>
      </c>
      <c r="E52" s="11" t="s">
        <v>1837</v>
      </c>
      <c r="F52" s="11" t="s">
        <v>50</v>
      </c>
      <c r="G52" s="11" t="s">
        <v>51</v>
      </c>
      <c r="H52" s="11" t="s">
        <v>306</v>
      </c>
      <c r="I52" s="11" t="s">
        <v>307</v>
      </c>
      <c r="J52" s="11" t="s">
        <v>178</v>
      </c>
    </row>
    <row r="53" customFormat="false" ht="38.8" hidden="false" customHeight="false" outlineLevel="0" collapsed="false">
      <c r="A53" s="11" t="s">
        <v>308</v>
      </c>
      <c r="B53" s="11" t="s">
        <v>299</v>
      </c>
      <c r="C53" s="11" t="s">
        <v>309</v>
      </c>
      <c r="D53" s="12" t="s">
        <v>310</v>
      </c>
      <c r="E53" s="11" t="s">
        <v>1838</v>
      </c>
      <c r="F53" s="11" t="s">
        <v>50</v>
      </c>
      <c r="G53" s="11" t="s">
        <v>90</v>
      </c>
      <c r="H53" s="11" t="s">
        <v>311</v>
      </c>
      <c r="I53" s="11" t="s">
        <v>312</v>
      </c>
      <c r="J53" s="11" t="s">
        <v>178</v>
      </c>
    </row>
    <row r="54" customFormat="false" ht="38.8" hidden="false" customHeight="false" outlineLevel="0" collapsed="false">
      <c r="A54" s="11" t="s">
        <v>313</v>
      </c>
      <c r="B54" s="11" t="s">
        <v>299</v>
      </c>
      <c r="C54" s="11" t="s">
        <v>314</v>
      </c>
      <c r="D54" s="12" t="s">
        <v>315</v>
      </c>
      <c r="E54" s="11" t="s">
        <v>1839</v>
      </c>
      <c r="F54" s="11" t="s">
        <v>50</v>
      </c>
      <c r="G54" s="11" t="s">
        <v>90</v>
      </c>
      <c r="H54" s="11" t="s">
        <v>280</v>
      </c>
      <c r="I54" s="11" t="s">
        <v>316</v>
      </c>
      <c r="J54" s="11" t="s">
        <v>178</v>
      </c>
    </row>
    <row r="55" customFormat="false" ht="38.8" hidden="false" customHeight="false" outlineLevel="0" collapsed="false">
      <c r="A55" s="11" t="s">
        <v>317</v>
      </c>
      <c r="B55" s="11" t="s">
        <v>299</v>
      </c>
      <c r="C55" s="11" t="s">
        <v>318</v>
      </c>
      <c r="D55" s="12" t="s">
        <v>319</v>
      </c>
      <c r="E55" s="11" t="s">
        <v>1840</v>
      </c>
      <c r="F55" s="11" t="s">
        <v>50</v>
      </c>
      <c r="G55" s="11" t="s">
        <v>51</v>
      </c>
      <c r="H55" s="11" t="s">
        <v>320</v>
      </c>
      <c r="I55" s="11" t="s">
        <v>321</v>
      </c>
      <c r="J55" s="11" t="s">
        <v>178</v>
      </c>
    </row>
    <row r="56" customFormat="false" ht="50.4" hidden="false" customHeight="false" outlineLevel="0" collapsed="false">
      <c r="A56" s="11" t="s">
        <v>322</v>
      </c>
      <c r="B56" s="11" t="s">
        <v>299</v>
      </c>
      <c r="C56" s="11" t="s">
        <v>323</v>
      </c>
      <c r="D56" s="12" t="s">
        <v>1690</v>
      </c>
      <c r="E56" s="11" t="s">
        <v>175</v>
      </c>
      <c r="F56" s="11" t="s">
        <v>50</v>
      </c>
      <c r="G56" s="11" t="s">
        <v>51</v>
      </c>
      <c r="H56" s="11" t="s">
        <v>271</v>
      </c>
      <c r="I56" s="11" t="s">
        <v>325</v>
      </c>
      <c r="J56" s="11" t="s">
        <v>121</v>
      </c>
    </row>
    <row r="57" customFormat="false" ht="27.2" hidden="false" customHeight="false" outlineLevel="0" collapsed="false">
      <c r="A57" s="11" t="s">
        <v>326</v>
      </c>
      <c r="B57" s="11" t="s">
        <v>299</v>
      </c>
      <c r="C57" s="11" t="s">
        <v>327</v>
      </c>
      <c r="D57" s="12" t="s">
        <v>328</v>
      </c>
      <c r="E57" s="11" t="s">
        <v>1841</v>
      </c>
      <c r="F57" s="11" t="s">
        <v>50</v>
      </c>
      <c r="G57" s="11" t="s">
        <v>84</v>
      </c>
      <c r="H57" s="11" t="s">
        <v>329</v>
      </c>
      <c r="I57" s="11" t="s">
        <v>330</v>
      </c>
      <c r="J57" s="11" t="s">
        <v>178</v>
      </c>
    </row>
    <row r="58" customFormat="false" ht="50.4" hidden="false" customHeight="false" outlineLevel="0" collapsed="false">
      <c r="A58" s="11" t="s">
        <v>331</v>
      </c>
      <c r="B58" s="11" t="s">
        <v>332</v>
      </c>
      <c r="C58" s="11" t="s">
        <v>333</v>
      </c>
      <c r="D58" s="12" t="s">
        <v>334</v>
      </c>
      <c r="E58" s="11" t="s">
        <v>1842</v>
      </c>
      <c r="F58" s="11" t="s">
        <v>50</v>
      </c>
      <c r="G58" s="11" t="s">
        <v>225</v>
      </c>
      <c r="H58" s="11" t="s">
        <v>335</v>
      </c>
      <c r="I58" s="11" t="s">
        <v>336</v>
      </c>
      <c r="J58" s="11" t="s">
        <v>121</v>
      </c>
    </row>
    <row r="59" customFormat="false" ht="38.8" hidden="false" customHeight="false" outlineLevel="0" collapsed="false">
      <c r="A59" s="11" t="s">
        <v>337</v>
      </c>
      <c r="B59" s="11" t="s">
        <v>332</v>
      </c>
      <c r="C59" s="11" t="s">
        <v>338</v>
      </c>
      <c r="D59" s="12" t="s">
        <v>339</v>
      </c>
      <c r="E59" s="11" t="s">
        <v>1843</v>
      </c>
      <c r="F59" s="11" t="s">
        <v>50</v>
      </c>
      <c r="G59" s="11" t="s">
        <v>225</v>
      </c>
      <c r="H59" s="11" t="s">
        <v>340</v>
      </c>
      <c r="I59" s="11" t="s">
        <v>341</v>
      </c>
      <c r="J59" s="11" t="s">
        <v>121</v>
      </c>
    </row>
    <row r="60" customFormat="false" ht="62" hidden="false" customHeight="false" outlineLevel="0" collapsed="false">
      <c r="A60" s="11" t="s">
        <v>342</v>
      </c>
      <c r="B60" s="11" t="s">
        <v>332</v>
      </c>
      <c r="C60" s="11" t="s">
        <v>343</v>
      </c>
      <c r="D60" s="12" t="s">
        <v>344</v>
      </c>
      <c r="E60" s="11" t="s">
        <v>1844</v>
      </c>
      <c r="F60" s="11" t="s">
        <v>50</v>
      </c>
      <c r="G60" s="11" t="s">
        <v>225</v>
      </c>
      <c r="H60" s="11" t="s">
        <v>226</v>
      </c>
      <c r="I60" s="11" t="s">
        <v>345</v>
      </c>
      <c r="J60" s="11" t="s">
        <v>121</v>
      </c>
    </row>
    <row r="61" customFormat="false" ht="46.25" hidden="false" customHeight="false" outlineLevel="0" collapsed="false">
      <c r="A61" s="11" t="s">
        <v>346</v>
      </c>
      <c r="B61" s="11" t="s">
        <v>332</v>
      </c>
      <c r="C61" s="11" t="s">
        <v>347</v>
      </c>
      <c r="D61" s="12" t="s">
        <v>348</v>
      </c>
      <c r="E61" s="11" t="s">
        <v>1845</v>
      </c>
      <c r="F61" s="11" t="s">
        <v>50</v>
      </c>
      <c r="G61" s="11" t="s">
        <v>90</v>
      </c>
      <c r="H61" s="11" t="s">
        <v>349</v>
      </c>
      <c r="I61" s="11" t="s">
        <v>350</v>
      </c>
      <c r="J61" s="11" t="s">
        <v>121</v>
      </c>
    </row>
    <row r="62" customFormat="false" ht="85.2" hidden="false" customHeight="false" outlineLevel="0" collapsed="false">
      <c r="A62" s="11" t="s">
        <v>351</v>
      </c>
      <c r="B62" s="11" t="s">
        <v>352</v>
      </c>
      <c r="C62" s="11" t="s">
        <v>353</v>
      </c>
      <c r="D62" s="12" t="s">
        <v>354</v>
      </c>
      <c r="E62" s="11" t="s">
        <v>1846</v>
      </c>
      <c r="F62" s="11" t="s">
        <v>50</v>
      </c>
      <c r="G62" s="11" t="s">
        <v>355</v>
      </c>
      <c r="H62" s="11" t="s">
        <v>356</v>
      </c>
      <c r="I62" s="11" t="s">
        <v>357</v>
      </c>
      <c r="J62" s="11" t="s">
        <v>99</v>
      </c>
    </row>
    <row r="63" customFormat="false" ht="73.6" hidden="false" customHeight="false" outlineLevel="0" collapsed="false">
      <c r="A63" s="11" t="s">
        <v>358</v>
      </c>
      <c r="B63" s="11" t="s">
        <v>352</v>
      </c>
      <c r="C63" s="11" t="s">
        <v>359</v>
      </c>
      <c r="D63" s="12" t="s">
        <v>360</v>
      </c>
      <c r="E63" s="11" t="s">
        <v>1847</v>
      </c>
      <c r="F63" s="11" t="s">
        <v>50</v>
      </c>
      <c r="G63" s="11" t="s">
        <v>361</v>
      </c>
      <c r="H63" s="11" t="s">
        <v>362</v>
      </c>
      <c r="I63" s="11" t="s">
        <v>363</v>
      </c>
      <c r="J63" s="11" t="s">
        <v>99</v>
      </c>
    </row>
    <row r="64" customFormat="false" ht="27.2" hidden="false" customHeight="false" outlineLevel="0" collapsed="false">
      <c r="A64" s="11" t="s">
        <v>364</v>
      </c>
      <c r="B64" s="11" t="s">
        <v>352</v>
      </c>
      <c r="C64" s="11" t="s">
        <v>365</v>
      </c>
      <c r="D64" s="12" t="s">
        <v>366</v>
      </c>
      <c r="E64" s="11" t="s">
        <v>367</v>
      </c>
      <c r="F64" s="11" t="s">
        <v>368</v>
      </c>
      <c r="G64" s="11" t="s">
        <v>1848</v>
      </c>
      <c r="H64" s="11" t="s">
        <v>1849</v>
      </c>
      <c r="I64" s="11" t="s">
        <v>369</v>
      </c>
      <c r="J64" s="11" t="s">
        <v>99</v>
      </c>
    </row>
    <row r="65" customFormat="false" ht="46.25" hidden="false" customHeight="false" outlineLevel="0" collapsed="false">
      <c r="A65" s="11" t="s">
        <v>370</v>
      </c>
      <c r="B65" s="11" t="s">
        <v>352</v>
      </c>
      <c r="C65" s="11" t="s">
        <v>371</v>
      </c>
      <c r="D65" s="12" t="s">
        <v>372</v>
      </c>
      <c r="E65" s="11" t="s">
        <v>373</v>
      </c>
      <c r="F65" s="11" t="s">
        <v>374</v>
      </c>
      <c r="G65" s="11" t="s">
        <v>51</v>
      </c>
      <c r="H65" s="11" t="s">
        <v>375</v>
      </c>
      <c r="I65" s="11" t="s">
        <v>376</v>
      </c>
      <c r="J65" s="11" t="s">
        <v>121</v>
      </c>
    </row>
    <row r="66" customFormat="false" ht="27.2" hidden="false" customHeight="false" outlineLevel="0" collapsed="false">
      <c r="A66" s="11" t="s">
        <v>377</v>
      </c>
      <c r="B66" s="11" t="s">
        <v>352</v>
      </c>
      <c r="C66" s="11" t="s">
        <v>378</v>
      </c>
      <c r="D66" s="12" t="s">
        <v>379</v>
      </c>
      <c r="E66" s="11" t="s">
        <v>1850</v>
      </c>
      <c r="F66" s="11" t="s">
        <v>50</v>
      </c>
      <c r="G66" s="11" t="s">
        <v>51</v>
      </c>
      <c r="H66" s="11" t="s">
        <v>165</v>
      </c>
      <c r="I66" s="11" t="s">
        <v>380</v>
      </c>
      <c r="J66" s="11" t="s">
        <v>99</v>
      </c>
    </row>
    <row r="67" customFormat="false" ht="50.4" hidden="false" customHeight="false" outlineLevel="0" collapsed="false">
      <c r="A67" s="11" t="s">
        <v>381</v>
      </c>
      <c r="B67" s="11" t="s">
        <v>8</v>
      </c>
      <c r="C67" s="11" t="s">
        <v>382</v>
      </c>
      <c r="D67" s="12" t="s">
        <v>383</v>
      </c>
      <c r="E67" s="11" t="s">
        <v>1851</v>
      </c>
      <c r="F67" s="11" t="s">
        <v>50</v>
      </c>
      <c r="G67" s="11" t="s">
        <v>384</v>
      </c>
      <c r="H67" s="11" t="s">
        <v>385</v>
      </c>
      <c r="I67" s="11" t="s">
        <v>386</v>
      </c>
      <c r="J67" s="11" t="s">
        <v>234</v>
      </c>
    </row>
    <row r="68" customFormat="false" ht="50.4" hidden="false" customHeight="false" outlineLevel="0" collapsed="false">
      <c r="A68" s="11" t="s">
        <v>387</v>
      </c>
      <c r="B68" s="11" t="s">
        <v>8</v>
      </c>
      <c r="C68" s="11" t="s">
        <v>388</v>
      </c>
      <c r="D68" s="12" t="s">
        <v>389</v>
      </c>
      <c r="E68" s="11" t="s">
        <v>1852</v>
      </c>
      <c r="F68" s="11" t="s">
        <v>50</v>
      </c>
      <c r="G68" s="11" t="s">
        <v>90</v>
      </c>
      <c r="H68" s="11" t="s">
        <v>390</v>
      </c>
      <c r="I68" s="11" t="s">
        <v>391</v>
      </c>
      <c r="J68" s="11" t="s">
        <v>234</v>
      </c>
    </row>
    <row r="69" customFormat="false" ht="50.4" hidden="false" customHeight="false" outlineLevel="0" collapsed="false">
      <c r="A69" s="11" t="s">
        <v>392</v>
      </c>
      <c r="B69" s="11" t="s">
        <v>8</v>
      </c>
      <c r="C69" s="11" t="s">
        <v>393</v>
      </c>
      <c r="D69" s="12" t="s">
        <v>394</v>
      </c>
      <c r="E69" s="11" t="s">
        <v>1853</v>
      </c>
      <c r="F69" s="11" t="s">
        <v>50</v>
      </c>
      <c r="G69" s="11" t="s">
        <v>90</v>
      </c>
      <c r="H69" s="11" t="s">
        <v>91</v>
      </c>
      <c r="I69" s="11" t="s">
        <v>395</v>
      </c>
      <c r="J69" s="11" t="s">
        <v>121</v>
      </c>
    </row>
    <row r="70" customFormat="false" ht="27.2" hidden="false" customHeight="false" outlineLevel="0" collapsed="false">
      <c r="A70" s="11" t="s">
        <v>396</v>
      </c>
      <c r="B70" s="11" t="s">
        <v>8</v>
      </c>
      <c r="C70" s="11" t="s">
        <v>397</v>
      </c>
      <c r="D70" s="12" t="s">
        <v>398</v>
      </c>
      <c r="E70" s="11" t="s">
        <v>1854</v>
      </c>
      <c r="F70" s="11" t="s">
        <v>50</v>
      </c>
      <c r="G70" s="11" t="s">
        <v>399</v>
      </c>
      <c r="H70" s="11" t="s">
        <v>400</v>
      </c>
      <c r="I70" s="11" t="s">
        <v>401</v>
      </c>
      <c r="J70" s="11" t="s">
        <v>234</v>
      </c>
    </row>
    <row r="71" customFormat="false" ht="35.05" hidden="false" customHeight="false" outlineLevel="0" collapsed="false">
      <c r="A71" s="11" t="s">
        <v>402</v>
      </c>
      <c r="B71" s="11" t="s">
        <v>8</v>
      </c>
      <c r="C71" s="11" t="s">
        <v>403</v>
      </c>
      <c r="D71" s="12" t="s">
        <v>404</v>
      </c>
      <c r="E71" s="11" t="s">
        <v>175</v>
      </c>
      <c r="F71" s="11" t="s">
        <v>374</v>
      </c>
      <c r="G71" s="11" t="s">
        <v>51</v>
      </c>
      <c r="H71" s="11" t="s">
        <v>75</v>
      </c>
      <c r="I71" s="11" t="s">
        <v>405</v>
      </c>
      <c r="J71" s="11" t="s">
        <v>65</v>
      </c>
    </row>
    <row r="72" customFormat="false" ht="50.4" hidden="false" customHeight="false" outlineLevel="0" collapsed="false">
      <c r="A72" s="11" t="s">
        <v>406</v>
      </c>
      <c r="B72" s="11" t="s">
        <v>10</v>
      </c>
      <c r="C72" s="11" t="s">
        <v>407</v>
      </c>
      <c r="D72" s="12" t="s">
        <v>1691</v>
      </c>
      <c r="E72" s="11" t="s">
        <v>49</v>
      </c>
      <c r="F72" s="11" t="s">
        <v>374</v>
      </c>
      <c r="G72" s="11" t="s">
        <v>51</v>
      </c>
      <c r="H72" s="11" t="s">
        <v>409</v>
      </c>
      <c r="I72" s="11" t="s">
        <v>410</v>
      </c>
      <c r="J72" s="11" t="s">
        <v>54</v>
      </c>
    </row>
    <row r="73" customFormat="false" ht="46.25" hidden="false" customHeight="false" outlineLevel="0" collapsed="false">
      <c r="A73" s="11" t="s">
        <v>411</v>
      </c>
      <c r="B73" s="11" t="s">
        <v>12</v>
      </c>
      <c r="C73" s="11" t="s">
        <v>412</v>
      </c>
      <c r="D73" s="12" t="s">
        <v>413</v>
      </c>
      <c r="E73" s="11" t="s">
        <v>414</v>
      </c>
      <c r="F73" s="11" t="s">
        <v>374</v>
      </c>
      <c r="G73" s="11" t="s">
        <v>51</v>
      </c>
      <c r="H73" s="11" t="s">
        <v>415</v>
      </c>
      <c r="I73" s="11" t="s">
        <v>416</v>
      </c>
      <c r="J73" s="11" t="s">
        <v>65</v>
      </c>
    </row>
    <row r="74" customFormat="false" ht="73.6" hidden="false" customHeight="false" outlineLevel="0" collapsed="false">
      <c r="A74" s="11" t="s">
        <v>417</v>
      </c>
      <c r="B74" s="11" t="s">
        <v>12</v>
      </c>
      <c r="C74" s="11" t="s">
        <v>418</v>
      </c>
      <c r="D74" s="12" t="s">
        <v>419</v>
      </c>
      <c r="E74" s="11" t="s">
        <v>1855</v>
      </c>
      <c r="F74" s="11" t="s">
        <v>50</v>
      </c>
      <c r="G74" s="11" t="s">
        <v>420</v>
      </c>
      <c r="H74" s="11" t="s">
        <v>421</v>
      </c>
      <c r="I74" s="11" t="s">
        <v>422</v>
      </c>
      <c r="J74" s="11" t="s">
        <v>54</v>
      </c>
    </row>
    <row r="75" customFormat="false" ht="62" hidden="false" customHeight="false" outlineLevel="0" collapsed="false">
      <c r="A75" s="11" t="s">
        <v>423</v>
      </c>
      <c r="B75" s="11" t="s">
        <v>12</v>
      </c>
      <c r="C75" s="11" t="s">
        <v>424</v>
      </c>
      <c r="D75" s="12" t="s">
        <v>425</v>
      </c>
      <c r="E75" s="11" t="s">
        <v>1856</v>
      </c>
      <c r="F75" s="11" t="s">
        <v>50</v>
      </c>
      <c r="G75" s="11" t="s">
        <v>426</v>
      </c>
      <c r="H75" s="11" t="s">
        <v>427</v>
      </c>
      <c r="I75" s="11" t="s">
        <v>428</v>
      </c>
      <c r="J75" s="11" t="s">
        <v>54</v>
      </c>
    </row>
    <row r="76" customFormat="false" ht="38.8" hidden="false" customHeight="false" outlineLevel="0" collapsed="false">
      <c r="A76" s="11" t="s">
        <v>429</v>
      </c>
      <c r="B76" s="11" t="s">
        <v>10</v>
      </c>
      <c r="C76" s="11" t="s">
        <v>430</v>
      </c>
      <c r="D76" s="12" t="s">
        <v>431</v>
      </c>
      <c r="E76" s="11" t="s">
        <v>1857</v>
      </c>
      <c r="F76" s="11" t="s">
        <v>50</v>
      </c>
      <c r="G76" s="11" t="s">
        <v>90</v>
      </c>
      <c r="H76" s="11" t="s">
        <v>91</v>
      </c>
      <c r="I76" s="11" t="s">
        <v>432</v>
      </c>
      <c r="J76" s="11" t="s">
        <v>110</v>
      </c>
    </row>
    <row r="77" customFormat="false" ht="50.4" hidden="false" customHeight="false" outlineLevel="0" collapsed="false">
      <c r="A77" s="11" t="s">
        <v>433</v>
      </c>
      <c r="B77" s="11" t="s">
        <v>8</v>
      </c>
      <c r="C77" s="11" t="s">
        <v>434</v>
      </c>
      <c r="D77" s="12" t="s">
        <v>435</v>
      </c>
      <c r="E77" s="11" t="s">
        <v>1858</v>
      </c>
      <c r="F77" s="11" t="s">
        <v>50</v>
      </c>
      <c r="G77" s="11" t="s">
        <v>420</v>
      </c>
      <c r="H77" s="11" t="s">
        <v>436</v>
      </c>
      <c r="I77" s="11" t="s">
        <v>437</v>
      </c>
      <c r="J77" s="11" t="s">
        <v>178</v>
      </c>
    </row>
    <row r="78" customFormat="false" ht="50.4" hidden="false" customHeight="false" outlineLevel="0" collapsed="false">
      <c r="A78" s="11" t="s">
        <v>438</v>
      </c>
      <c r="B78" s="11" t="s">
        <v>439</v>
      </c>
      <c r="C78" s="11" t="s">
        <v>440</v>
      </c>
      <c r="D78" s="12" t="s">
        <v>441</v>
      </c>
      <c r="E78" s="11" t="s">
        <v>1859</v>
      </c>
      <c r="F78" s="11" t="s">
        <v>50</v>
      </c>
      <c r="G78" s="11" t="s">
        <v>51</v>
      </c>
      <c r="H78" s="11" t="s">
        <v>1692</v>
      </c>
      <c r="I78" s="11" t="s">
        <v>443</v>
      </c>
      <c r="J78" s="11" t="s">
        <v>99</v>
      </c>
    </row>
    <row r="79" customFormat="false" ht="38.8" hidden="false" customHeight="false" outlineLevel="0" collapsed="false">
      <c r="A79" s="11" t="s">
        <v>444</v>
      </c>
      <c r="B79" s="11" t="s">
        <v>439</v>
      </c>
      <c r="C79" s="11" t="s">
        <v>445</v>
      </c>
      <c r="D79" s="12" t="s">
        <v>446</v>
      </c>
      <c r="E79" s="11" t="s">
        <v>1860</v>
      </c>
      <c r="F79" s="11" t="s">
        <v>50</v>
      </c>
      <c r="G79" s="11" t="s">
        <v>90</v>
      </c>
      <c r="H79" s="11" t="s">
        <v>390</v>
      </c>
      <c r="I79" s="11" t="s">
        <v>447</v>
      </c>
      <c r="J79" s="11" t="s">
        <v>121</v>
      </c>
    </row>
    <row r="80" customFormat="false" ht="62" hidden="false" customHeight="false" outlineLevel="0" collapsed="false">
      <c r="A80" s="11" t="s">
        <v>448</v>
      </c>
      <c r="B80" s="11" t="s">
        <v>439</v>
      </c>
      <c r="C80" s="11" t="s">
        <v>449</v>
      </c>
      <c r="D80" s="12" t="s">
        <v>450</v>
      </c>
      <c r="E80" s="11" t="s">
        <v>1861</v>
      </c>
      <c r="F80" s="11" t="s">
        <v>50</v>
      </c>
      <c r="G80" s="11" t="s">
        <v>90</v>
      </c>
      <c r="H80" s="11" t="s">
        <v>451</v>
      </c>
      <c r="I80" s="11" t="s">
        <v>452</v>
      </c>
      <c r="J80" s="11" t="s">
        <v>110</v>
      </c>
    </row>
    <row r="81" customFormat="false" ht="27.2" hidden="false" customHeight="false" outlineLevel="0" collapsed="false">
      <c r="A81" s="11" t="s">
        <v>453</v>
      </c>
      <c r="B81" s="11" t="s">
        <v>439</v>
      </c>
      <c r="C81" s="11" t="s">
        <v>454</v>
      </c>
      <c r="D81" s="12" t="s">
        <v>455</v>
      </c>
      <c r="E81" s="11" t="s">
        <v>1862</v>
      </c>
      <c r="F81" s="11" t="s">
        <v>50</v>
      </c>
      <c r="G81" s="11" t="s">
        <v>90</v>
      </c>
      <c r="H81" s="11" t="s">
        <v>456</v>
      </c>
      <c r="I81" s="11" t="s">
        <v>457</v>
      </c>
      <c r="J81" s="11" t="s">
        <v>121</v>
      </c>
    </row>
    <row r="82" customFormat="false" ht="50.4" hidden="false" customHeight="false" outlineLevel="0" collapsed="false">
      <c r="A82" s="11" t="s">
        <v>458</v>
      </c>
      <c r="B82" s="11" t="s">
        <v>439</v>
      </c>
      <c r="C82" s="11" t="s">
        <v>459</v>
      </c>
      <c r="D82" s="12" t="s">
        <v>460</v>
      </c>
      <c r="E82" s="11" t="s">
        <v>1863</v>
      </c>
      <c r="F82" s="11" t="s">
        <v>50</v>
      </c>
      <c r="G82" s="11" t="s">
        <v>84</v>
      </c>
      <c r="H82" s="11" t="s">
        <v>461</v>
      </c>
      <c r="I82" s="11" t="s">
        <v>457</v>
      </c>
      <c r="J82" s="11" t="s">
        <v>121</v>
      </c>
    </row>
    <row r="83" customFormat="false" ht="38.8" hidden="false" customHeight="false" outlineLevel="0" collapsed="false">
      <c r="A83" s="11" t="s">
        <v>462</v>
      </c>
      <c r="B83" s="11" t="s">
        <v>439</v>
      </c>
      <c r="C83" s="11" t="s">
        <v>463</v>
      </c>
      <c r="D83" s="12" t="s">
        <v>464</v>
      </c>
      <c r="E83" s="11" t="s">
        <v>1864</v>
      </c>
      <c r="F83" s="11" t="s">
        <v>50</v>
      </c>
      <c r="G83" s="11" t="s">
        <v>225</v>
      </c>
      <c r="H83" s="11" t="s">
        <v>465</v>
      </c>
      <c r="I83" s="11" t="s">
        <v>466</v>
      </c>
      <c r="J83" s="11" t="s">
        <v>121</v>
      </c>
    </row>
  </sheetData>
  <autoFilter ref="A4:J83"/>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6" min="4" style="0" width="10"/>
    <col collapsed="false" customWidth="true" hidden="false" outlineLevel="0" max="7" min="7" style="0" width="14"/>
    <col collapsed="false" customWidth="true" hidden="false" outlineLevel="0" max="8" min="8" style="0" width="13"/>
    <col collapsed="false" customWidth="true" hidden="false" outlineLevel="0" max="10" min="9" style="0" width="14"/>
    <col collapsed="false" customWidth="true" hidden="false" outlineLevel="0" max="11" min="11" style="0" width="22"/>
    <col collapsed="false" customWidth="true" hidden="false" outlineLevel="0" max="12" min="12" style="0" width="48"/>
  </cols>
  <sheetData>
    <row r="1" customFormat="false" ht="17.35" hidden="false" customHeight="false" outlineLevel="0" collapsed="false">
      <c r="A1" s="1" t="s">
        <v>467</v>
      </c>
    </row>
    <row r="2" customFormat="false" ht="15" hidden="false" customHeight="false" outlineLevel="0" collapsed="false">
      <c r="A2" s="2" t="s">
        <v>468</v>
      </c>
    </row>
    <row r="4" customFormat="false" ht="35.05" hidden="false" customHeight="false" outlineLevel="0" collapsed="false">
      <c r="A4" s="10" t="s">
        <v>469</v>
      </c>
      <c r="B4" s="10" t="s">
        <v>470</v>
      </c>
      <c r="C4" s="10" t="s">
        <v>471</v>
      </c>
      <c r="D4" s="10" t="s">
        <v>472</v>
      </c>
      <c r="E4" s="10" t="s">
        <v>473</v>
      </c>
      <c r="F4" s="10" t="s">
        <v>474</v>
      </c>
      <c r="G4" s="10" t="s">
        <v>475</v>
      </c>
      <c r="H4" s="10" t="s">
        <v>476</v>
      </c>
      <c r="I4" s="10" t="s">
        <v>477</v>
      </c>
      <c r="J4" s="10" t="s">
        <v>478</v>
      </c>
      <c r="K4" s="10" t="s">
        <v>41</v>
      </c>
      <c r="L4" s="10" t="s">
        <v>479</v>
      </c>
    </row>
    <row r="5" customFormat="false" ht="15" hidden="false" customHeight="false" outlineLevel="0" collapsed="false">
      <c r="A5" s="13" t="s">
        <v>480</v>
      </c>
      <c r="B5" s="13" t="s">
        <v>481</v>
      </c>
      <c r="C5" s="13" t="s">
        <v>482</v>
      </c>
      <c r="D5" s="12" t="n">
        <v>5</v>
      </c>
      <c r="E5" s="12" t="n">
        <v>40</v>
      </c>
      <c r="F5" s="12" t="n">
        <v>100</v>
      </c>
      <c r="G5" s="14" t="n">
        <f aca="false">IF(COUNT(D5:F5)=3,(D5+4*E5+F5)/6,"")</f>
        <v>44.1666666666667</v>
      </c>
      <c r="H5" s="14" t="n">
        <f aca="false">IF(COUNT(D5:F5)=3,(F5-D5)/6,"")</f>
        <v>15.8333333333333</v>
      </c>
      <c r="I5" s="14" t="n">
        <f aca="false">IF(COUNT(D5:F5)=3,SQRT((G5-D5)*(F5-G5)/7),"")</f>
        <v>17.6748633276411</v>
      </c>
      <c r="J5" s="14" t="n">
        <f aca="false">IF(COUNT(D5:F5)=3,(D5+E5+F5)/3,"")</f>
        <v>48.3333333333333</v>
      </c>
      <c r="K5" s="13" t="s">
        <v>50</v>
      </c>
      <c r="L5" s="13"/>
    </row>
    <row r="6" customFormat="false" ht="15" hidden="false" customHeight="false" outlineLevel="0" collapsed="false">
      <c r="A6" s="13" t="s">
        <v>480</v>
      </c>
      <c r="B6" s="13" t="s">
        <v>483</v>
      </c>
      <c r="C6" s="13" t="s">
        <v>484</v>
      </c>
      <c r="D6" s="12" t="n">
        <v>25</v>
      </c>
      <c r="E6" s="12" t="n">
        <v>50</v>
      </c>
      <c r="F6" s="12" t="n">
        <v>65</v>
      </c>
      <c r="G6" s="14" t="n">
        <f aca="false">IF(COUNT(D6:F6)=3,(D6+4*E6+F6)/6,"")</f>
        <v>48.3333333333333</v>
      </c>
      <c r="H6" s="14" t="n">
        <f aca="false">IF(COUNT(D6:F6)=3,(F6-D6)/6,"")</f>
        <v>6.66666666666667</v>
      </c>
      <c r="I6" s="14" t="n">
        <f aca="false">IF(COUNT(D6:F6)=3,SQRT((G6-D6)*(F6-G6)/7),"")</f>
        <v>7.4535599249993</v>
      </c>
      <c r="J6" s="14" t="n">
        <f aca="false">IF(COUNT(D6:F6)=3,(D6+E6+F6)/3,"")</f>
        <v>46.6666666666667</v>
      </c>
      <c r="K6" s="13" t="s">
        <v>50</v>
      </c>
      <c r="L6" s="13"/>
    </row>
    <row r="7" customFormat="false" ht="39.55" hidden="false" customHeight="false" outlineLevel="0" collapsed="false">
      <c r="A7" s="13" t="s">
        <v>480</v>
      </c>
      <c r="B7" s="13" t="s">
        <v>485</v>
      </c>
      <c r="C7" s="13" t="s">
        <v>486</v>
      </c>
      <c r="D7" s="15"/>
      <c r="E7" s="15"/>
      <c r="F7" s="15"/>
      <c r="G7" s="14" t="str">
        <f aca="false">IF(COUNT(D7:F7)=3,(D7+4*E7+F7)/6,"")</f>
        <v/>
      </c>
      <c r="H7" s="14" t="str">
        <f aca="false">IF(COUNT(D7:F7)=3,(F7-D7)/6,"")</f>
        <v/>
      </c>
      <c r="I7" s="14" t="str">
        <f aca="false">IF(COUNT(D7:F7)=3,SQRT((G7-D7)*(F7-G7)/7),"")</f>
        <v/>
      </c>
      <c r="J7" s="14" t="str">
        <f aca="false">IF(COUNT(D7:F7)=3,(D7+E7+F7)/3,"")</f>
        <v/>
      </c>
      <c r="K7" s="13" t="s">
        <v>487</v>
      </c>
      <c r="L7" s="13" t="s">
        <v>488</v>
      </c>
    </row>
    <row r="8" customFormat="false" ht="15" hidden="false" customHeight="false" outlineLevel="0" collapsed="false">
      <c r="A8" s="13" t="s">
        <v>480</v>
      </c>
      <c r="B8" s="13" t="s">
        <v>489</v>
      </c>
      <c r="C8" s="13" t="s">
        <v>490</v>
      </c>
      <c r="D8" s="12" t="n">
        <v>2</v>
      </c>
      <c r="E8" s="12" t="n">
        <v>5</v>
      </c>
      <c r="F8" s="12" t="n">
        <v>10</v>
      </c>
      <c r="G8" s="14" t="n">
        <f aca="false">IF(COUNT(D8:F8)=3,(D8+4*E8+F8)/6,"")</f>
        <v>5.33333333333333</v>
      </c>
      <c r="H8" s="14" t="n">
        <f aca="false">IF(COUNT(D8:F8)=3,(F8-D8)/6,"")</f>
        <v>1.33333333333333</v>
      </c>
      <c r="I8" s="14" t="n">
        <f aca="false">IF(COUNT(D8:F8)=3,SQRT((G8-D8)*(F8-G8)/7),"")</f>
        <v>1.49071198499986</v>
      </c>
      <c r="J8" s="14" t="n">
        <f aca="false">IF(COUNT(D8:F8)=3,(D8+E8+F8)/3,"")</f>
        <v>5.66666666666667</v>
      </c>
      <c r="K8" s="13" t="s">
        <v>50</v>
      </c>
      <c r="L8" s="13"/>
    </row>
    <row r="9" customFormat="false" ht="15" hidden="false" customHeight="false" outlineLevel="0" collapsed="false">
      <c r="A9" s="13" t="s">
        <v>491</v>
      </c>
      <c r="B9" s="13" t="s">
        <v>481</v>
      </c>
      <c r="C9" s="13" t="s">
        <v>492</v>
      </c>
      <c r="D9" s="12" t="n">
        <v>5</v>
      </c>
      <c r="E9" s="12" t="n">
        <v>10</v>
      </c>
      <c r="F9" s="12" t="n">
        <v>35</v>
      </c>
      <c r="G9" s="14" t="n">
        <f aca="false">IF(COUNT(D9:F9)=3,(D9+4*E9+F9)/6,"")</f>
        <v>13.3333333333333</v>
      </c>
      <c r="H9" s="14" t="n">
        <f aca="false">IF(COUNT(D9:F9)=3,(F9-D9)/6,"")</f>
        <v>5</v>
      </c>
      <c r="I9" s="14" t="n">
        <f aca="false">IF(COUNT(D9:F9)=3,SQRT((G9-D9)*(F9-G9)/7),"")</f>
        <v>5.0787450018337</v>
      </c>
      <c r="J9" s="14" t="n">
        <f aca="false">IF(COUNT(D9:F9)=3,(D9+E9+F9)/3,"")</f>
        <v>16.6666666666667</v>
      </c>
      <c r="K9" s="13" t="s">
        <v>50</v>
      </c>
      <c r="L9" s="13"/>
    </row>
    <row r="10" customFormat="false" ht="15" hidden="false" customHeight="false" outlineLevel="0" collapsed="false">
      <c r="A10" s="13" t="s">
        <v>491</v>
      </c>
      <c r="B10" s="13" t="s">
        <v>483</v>
      </c>
      <c r="C10" s="13" t="s">
        <v>493</v>
      </c>
      <c r="D10" s="12" t="n">
        <v>2</v>
      </c>
      <c r="E10" s="12" t="n">
        <v>5</v>
      </c>
      <c r="F10" s="12" t="n">
        <v>30</v>
      </c>
      <c r="G10" s="14" t="n">
        <f aca="false">IF(COUNT(D10:F10)=3,(D10+4*E10+F10)/6,"")</f>
        <v>8.66666666666667</v>
      </c>
      <c r="H10" s="14" t="n">
        <f aca="false">IF(COUNT(D10:F10)=3,(F10-D10)/6,"")</f>
        <v>4.66666666666667</v>
      </c>
      <c r="I10" s="14" t="n">
        <f aca="false">IF(COUNT(D10:F10)=3,SQRT((G10-D10)*(F10-G10)/7),"")</f>
        <v>4.50748935855209</v>
      </c>
      <c r="J10" s="14" t="n">
        <f aca="false">IF(COUNT(D10:F10)=3,(D10+E10+F10)/3,"")</f>
        <v>12.3333333333333</v>
      </c>
      <c r="K10" s="13" t="s">
        <v>50</v>
      </c>
      <c r="L10" s="13"/>
    </row>
    <row r="11" customFormat="false" ht="39.55" hidden="false" customHeight="false" outlineLevel="0" collapsed="false">
      <c r="A11" s="13" t="s">
        <v>491</v>
      </c>
      <c r="B11" s="13" t="s">
        <v>485</v>
      </c>
      <c r="C11" s="13" t="s">
        <v>486</v>
      </c>
      <c r="D11" s="15"/>
      <c r="E11" s="15"/>
      <c r="F11" s="15"/>
      <c r="G11" s="14" t="str">
        <f aca="false">IF(COUNT(D11:F11)=3,(D11+4*E11+F11)/6,"")</f>
        <v/>
      </c>
      <c r="H11" s="14" t="str">
        <f aca="false">IF(COUNT(D11:F11)=3,(F11-D11)/6,"")</f>
        <v/>
      </c>
      <c r="I11" s="14" t="str">
        <f aca="false">IF(COUNT(D11:F11)=3,SQRT((G11-D11)*(F11-G11)/7),"")</f>
        <v/>
      </c>
      <c r="J11" s="14" t="str">
        <f aca="false">IF(COUNT(D11:F11)=3,(D11+E11+F11)/3,"")</f>
        <v/>
      </c>
      <c r="K11" s="13" t="s">
        <v>487</v>
      </c>
      <c r="L11" s="13" t="s">
        <v>488</v>
      </c>
    </row>
    <row r="12" customFormat="false" ht="15" hidden="false" customHeight="false" outlineLevel="0" collapsed="false">
      <c r="A12" s="13" t="s">
        <v>491</v>
      </c>
      <c r="B12" s="13" t="s">
        <v>489</v>
      </c>
      <c r="C12" s="13" t="s">
        <v>494</v>
      </c>
      <c r="D12" s="12" t="n">
        <v>10</v>
      </c>
      <c r="E12" s="12" t="n">
        <v>20</v>
      </c>
      <c r="F12" s="12" t="n">
        <v>45</v>
      </c>
      <c r="G12" s="14" t="n">
        <f aca="false">IF(COUNT(D12:F12)=3,(D12+4*E12+F12)/6,"")</f>
        <v>22.5</v>
      </c>
      <c r="H12" s="14" t="n">
        <f aca="false">IF(COUNT(D12:F12)=3,(F12-D12)/6,"")</f>
        <v>5.83333333333333</v>
      </c>
      <c r="I12" s="14" t="n">
        <f aca="false">IF(COUNT(D12:F12)=3,SQRT((G12-D12)*(F12-G12)/7),"")</f>
        <v>6.33865691046387</v>
      </c>
      <c r="J12" s="14" t="n">
        <f aca="false">IF(COUNT(D12:F12)=3,(D12+E12+F12)/3,"")</f>
        <v>25</v>
      </c>
      <c r="K12" s="13" t="s">
        <v>50</v>
      </c>
      <c r="L12" s="13"/>
    </row>
    <row r="13" customFormat="false" ht="15" hidden="false" customHeight="false" outlineLevel="0" collapsed="false">
      <c r="A13" s="13" t="s">
        <v>495</v>
      </c>
      <c r="B13" s="13" t="s">
        <v>481</v>
      </c>
      <c r="C13" s="13" t="s">
        <v>496</v>
      </c>
      <c r="D13" s="12" t="n">
        <v>5</v>
      </c>
      <c r="E13" s="12" t="n">
        <v>7.5</v>
      </c>
      <c r="F13" s="12" t="n">
        <v>21</v>
      </c>
      <c r="G13" s="14" t="n">
        <f aca="false">IF(COUNT(D13:F13)=3,(D13+4*E13+F13)/6,"")</f>
        <v>9.33333333333333</v>
      </c>
      <c r="H13" s="14" t="n">
        <f aca="false">IF(COUNT(D13:F13)=3,(F13-D13)/6,"")</f>
        <v>2.66666666666667</v>
      </c>
      <c r="I13" s="14" t="n">
        <f aca="false">IF(COUNT(D13:F13)=3,SQRT((G13-D13)*(F13-G13)/7),"")</f>
        <v>2.68741924943285</v>
      </c>
      <c r="J13" s="14" t="n">
        <f aca="false">IF(COUNT(D13:F13)=3,(D13+E13+F13)/3,"")</f>
        <v>11.1666666666667</v>
      </c>
      <c r="K13" s="13" t="s">
        <v>50</v>
      </c>
      <c r="L13" s="13"/>
    </row>
    <row r="14" customFormat="false" ht="39.55" hidden="false" customHeight="false" outlineLevel="0" collapsed="false">
      <c r="A14" s="13" t="s">
        <v>495</v>
      </c>
      <c r="B14" s="13" t="s">
        <v>483</v>
      </c>
      <c r="C14" s="13" t="s">
        <v>497</v>
      </c>
      <c r="D14" s="12" t="n">
        <v>1</v>
      </c>
      <c r="E14" s="16" t="n">
        <f aca="false">(D14+F14)/2</f>
        <v>16.5</v>
      </c>
      <c r="F14" s="12" t="n">
        <v>32</v>
      </c>
      <c r="G14" s="14" t="n">
        <f aca="false">IF(COUNT(D14:F14)=3,(D14+4*E14+F14)/6,"")</f>
        <v>16.5</v>
      </c>
      <c r="H14" s="14" t="n">
        <f aca="false">IF(COUNT(D14:F14)=3,(F14-D14)/6,"")</f>
        <v>5.16666666666667</v>
      </c>
      <c r="I14" s="14" t="n">
        <f aca="false">IF(COUNT(D14:F14)=3,SQRT((G14-D14)*(F14-G14)/7),"")</f>
        <v>5.85844933164302</v>
      </c>
      <c r="J14" s="14" t="n">
        <f aca="false">IF(COUNT(D14:F14)=3,(D14+E14+F14)/3,"")</f>
        <v>16.5</v>
      </c>
      <c r="K14" s="13" t="s">
        <v>487</v>
      </c>
      <c r="L14" s="13" t="s">
        <v>498</v>
      </c>
    </row>
    <row r="15" customFormat="false" ht="15" hidden="false" customHeight="false" outlineLevel="0" collapsed="false">
      <c r="A15" s="13" t="s">
        <v>495</v>
      </c>
      <c r="B15" s="13" t="s">
        <v>485</v>
      </c>
      <c r="C15" s="13" t="s">
        <v>499</v>
      </c>
      <c r="D15" s="12" t="n">
        <v>5</v>
      </c>
      <c r="E15" s="12" t="n">
        <v>10</v>
      </c>
      <c r="F15" s="12" t="n">
        <v>30</v>
      </c>
      <c r="G15" s="14" t="n">
        <f aca="false">IF(COUNT(D15:F15)=3,(D15+4*E15+F15)/6,"")</f>
        <v>12.5</v>
      </c>
      <c r="H15" s="14" t="n">
        <f aca="false">IF(COUNT(D15:F15)=3,(F15-D15)/6,"")</f>
        <v>4.16666666666667</v>
      </c>
      <c r="I15" s="14" t="n">
        <f aca="false">IF(COUNT(D15:F15)=3,SQRT((G15-D15)*(F15-G15)/7),"")</f>
        <v>4.33012701892219</v>
      </c>
      <c r="J15" s="14" t="n">
        <f aca="false">IF(COUNT(D15:F15)=3,(D15+E15+F15)/3,"")</f>
        <v>15</v>
      </c>
      <c r="K15" s="13" t="s">
        <v>50</v>
      </c>
      <c r="L15" s="13"/>
    </row>
    <row r="16" customFormat="false" ht="15" hidden="false" customHeight="false" outlineLevel="0" collapsed="false">
      <c r="A16" s="13" t="s">
        <v>495</v>
      </c>
      <c r="B16" s="13" t="s">
        <v>489</v>
      </c>
      <c r="C16" s="13" t="s">
        <v>500</v>
      </c>
      <c r="D16" s="12" t="n">
        <v>2</v>
      </c>
      <c r="E16" s="12" t="n">
        <v>6</v>
      </c>
      <c r="F16" s="12" t="n">
        <v>10</v>
      </c>
      <c r="G16" s="14" t="n">
        <f aca="false">IF(COUNT(D16:F16)=3,(D16+4*E16+F16)/6,"")</f>
        <v>6</v>
      </c>
      <c r="H16" s="14" t="n">
        <f aca="false">IF(COUNT(D16:F16)=3,(F16-D16)/6,"")</f>
        <v>1.33333333333333</v>
      </c>
      <c r="I16" s="14" t="n">
        <f aca="false">IF(COUNT(D16:F16)=3,SQRT((G16-D16)*(F16-G16)/7),"")</f>
        <v>1.51185789203691</v>
      </c>
      <c r="J16" s="14" t="n">
        <f aca="false">IF(COUNT(D16:F16)=3,(D16+E16+F16)/3,"")</f>
        <v>6</v>
      </c>
      <c r="K16" s="13" t="s">
        <v>50</v>
      </c>
      <c r="L16" s="13"/>
    </row>
    <row r="17" customFormat="false" ht="15" hidden="false" customHeight="false" outlineLevel="0" collapsed="false">
      <c r="A17" s="13" t="s">
        <v>501</v>
      </c>
      <c r="B17" s="13" t="s">
        <v>481</v>
      </c>
      <c r="C17" s="13" t="s">
        <v>502</v>
      </c>
      <c r="D17" s="12" t="n">
        <v>1</v>
      </c>
      <c r="E17" s="12" t="n">
        <v>6</v>
      </c>
      <c r="F17" s="12" t="n">
        <v>25</v>
      </c>
      <c r="G17" s="14" t="n">
        <f aca="false">IF(COUNT(D17:F17)=3,(D17+4*E17+F17)/6,"")</f>
        <v>8.33333333333333</v>
      </c>
      <c r="H17" s="14" t="n">
        <f aca="false">IF(COUNT(D17:F17)=3,(F17-D17)/6,"")</f>
        <v>4</v>
      </c>
      <c r="I17" s="14" t="n">
        <f aca="false">IF(COUNT(D17:F17)=3,SQRT((G17-D17)*(F17-G17)/7),"")</f>
        <v>4.17855447018672</v>
      </c>
      <c r="J17" s="14" t="n">
        <f aca="false">IF(COUNT(D17:F17)=3,(D17+E17+F17)/3,"")</f>
        <v>10.6666666666667</v>
      </c>
      <c r="K17" s="13" t="s">
        <v>50</v>
      </c>
      <c r="L17" s="13"/>
    </row>
    <row r="18" customFormat="false" ht="15" hidden="false" customHeight="false" outlineLevel="0" collapsed="false">
      <c r="A18" s="13" t="s">
        <v>501</v>
      </c>
      <c r="B18" s="13" t="s">
        <v>483</v>
      </c>
      <c r="C18" s="13" t="s">
        <v>503</v>
      </c>
      <c r="D18" s="12" t="n">
        <v>4</v>
      </c>
      <c r="E18" s="12" t="n">
        <v>8</v>
      </c>
      <c r="F18" s="12" t="n">
        <v>16</v>
      </c>
      <c r="G18" s="14" t="n">
        <f aca="false">IF(COUNT(D18:F18)=3,(D18+4*E18+F18)/6,"")</f>
        <v>8.66666666666667</v>
      </c>
      <c r="H18" s="14" t="n">
        <f aca="false">IF(COUNT(D18:F18)=3,(F18-D18)/6,"")</f>
        <v>2</v>
      </c>
      <c r="I18" s="14" t="n">
        <f aca="false">IF(COUNT(D18:F18)=3,SQRT((G18-D18)*(F18-G18)/7),"")</f>
        <v>2.21108319357027</v>
      </c>
      <c r="J18" s="14" t="n">
        <f aca="false">IF(COUNT(D18:F18)=3,(D18+E18+F18)/3,"")</f>
        <v>9.33333333333333</v>
      </c>
      <c r="K18" s="13" t="s">
        <v>50</v>
      </c>
      <c r="L18" s="13"/>
    </row>
    <row r="19" customFormat="false" ht="15" hidden="false" customHeight="false" outlineLevel="0" collapsed="false">
      <c r="A19" s="13" t="s">
        <v>501</v>
      </c>
      <c r="B19" s="13" t="s">
        <v>485</v>
      </c>
      <c r="C19" s="13" t="s">
        <v>504</v>
      </c>
      <c r="D19" s="12" t="n">
        <v>2</v>
      </c>
      <c r="E19" s="12" t="n">
        <v>5</v>
      </c>
      <c r="F19" s="12" t="n">
        <v>56</v>
      </c>
      <c r="G19" s="14" t="n">
        <f aca="false">IF(COUNT(D19:F19)=3,(D19+4*E19+F19)/6,"")</f>
        <v>13</v>
      </c>
      <c r="H19" s="14" t="n">
        <f aca="false">IF(COUNT(D19:F19)=3,(F19-D19)/6,"")</f>
        <v>9</v>
      </c>
      <c r="I19" s="14" t="n">
        <f aca="false">IF(COUNT(D19:F19)=3,SQRT((G19-D19)*(F19-G19)/7),"")</f>
        <v>8.22018421760903</v>
      </c>
      <c r="J19" s="14" t="n">
        <f aca="false">IF(COUNT(D19:F19)=3,(D19+E19+F19)/3,"")</f>
        <v>21</v>
      </c>
      <c r="K19" s="13" t="s">
        <v>50</v>
      </c>
      <c r="L19" s="13"/>
    </row>
    <row r="20" customFormat="false" ht="15" hidden="false" customHeight="false" outlineLevel="0" collapsed="false">
      <c r="A20" s="13" t="s">
        <v>501</v>
      </c>
      <c r="B20" s="13" t="s">
        <v>489</v>
      </c>
      <c r="C20" s="13" t="s">
        <v>505</v>
      </c>
      <c r="D20" s="12" t="n">
        <v>10</v>
      </c>
      <c r="E20" s="12" t="n">
        <v>20</v>
      </c>
      <c r="F20" s="12" t="n">
        <v>30</v>
      </c>
      <c r="G20" s="14" t="n">
        <f aca="false">IF(COUNT(D20:F20)=3,(D20+4*E20+F20)/6,"")</f>
        <v>20</v>
      </c>
      <c r="H20" s="14" t="n">
        <f aca="false">IF(COUNT(D20:F20)=3,(F20-D20)/6,"")</f>
        <v>3.33333333333333</v>
      </c>
      <c r="I20" s="14" t="n">
        <f aca="false">IF(COUNT(D20:F20)=3,SQRT((G20-D20)*(F20-G20)/7),"")</f>
        <v>3.77964473009227</v>
      </c>
      <c r="J20" s="14" t="n">
        <f aca="false">IF(COUNT(D20:F20)=3,(D20+E20+F20)/3,"")</f>
        <v>20</v>
      </c>
      <c r="K20" s="13" t="s">
        <v>50</v>
      </c>
      <c r="L20" s="13"/>
    </row>
    <row r="21" customFormat="false" ht="15" hidden="false" customHeight="false" outlineLevel="0" collapsed="false">
      <c r="A21" s="13" t="s">
        <v>506</v>
      </c>
      <c r="B21" s="13" t="s">
        <v>481</v>
      </c>
      <c r="C21" s="13" t="s">
        <v>499</v>
      </c>
      <c r="D21" s="12" t="n">
        <v>5</v>
      </c>
      <c r="E21" s="12" t="n">
        <v>10</v>
      </c>
      <c r="F21" s="12" t="n">
        <v>30</v>
      </c>
      <c r="G21" s="14" t="n">
        <f aca="false">IF(COUNT(D21:F21)=3,(D21+4*E21+F21)/6,"")</f>
        <v>12.5</v>
      </c>
      <c r="H21" s="14" t="n">
        <f aca="false">IF(COUNT(D21:F21)=3,(F21-D21)/6,"")</f>
        <v>4.16666666666667</v>
      </c>
      <c r="I21" s="14" t="n">
        <f aca="false">IF(COUNT(D21:F21)=3,SQRT((G21-D21)*(F21-G21)/7),"")</f>
        <v>4.33012701892219</v>
      </c>
      <c r="J21" s="14" t="n">
        <f aca="false">IF(COUNT(D21:F21)=3,(D21+E21+F21)/3,"")</f>
        <v>15</v>
      </c>
      <c r="K21" s="13" t="s">
        <v>50</v>
      </c>
      <c r="L21" s="13"/>
    </row>
    <row r="22" customFormat="false" ht="15" hidden="false" customHeight="false" outlineLevel="0" collapsed="false">
      <c r="A22" s="13" t="s">
        <v>506</v>
      </c>
      <c r="B22" s="13" t="s">
        <v>483</v>
      </c>
      <c r="C22" s="13" t="s">
        <v>507</v>
      </c>
      <c r="D22" s="12" t="n">
        <v>1</v>
      </c>
      <c r="E22" s="12" t="n">
        <v>3</v>
      </c>
      <c r="F22" s="12" t="n">
        <v>12</v>
      </c>
      <c r="G22" s="14" t="n">
        <f aca="false">IF(COUNT(D22:F22)=3,(D22+4*E22+F22)/6,"")</f>
        <v>4.16666666666667</v>
      </c>
      <c r="H22" s="14" t="n">
        <f aca="false">IF(COUNT(D22:F22)=3,(F22-D22)/6,"")</f>
        <v>1.83333333333333</v>
      </c>
      <c r="I22" s="14" t="n">
        <f aca="false">IF(COUNT(D22:F22)=3,SQRT((G22-D22)*(F22-G22)/7),"")</f>
        <v>1.88245870968019</v>
      </c>
      <c r="J22" s="14" t="n">
        <f aca="false">IF(COUNT(D22:F22)=3,(D22+E22+F22)/3,"")</f>
        <v>5.33333333333333</v>
      </c>
      <c r="K22" s="13" t="s">
        <v>50</v>
      </c>
      <c r="L22" s="13"/>
    </row>
    <row r="23" customFormat="false" ht="39.55" hidden="false" customHeight="false" outlineLevel="0" collapsed="false">
      <c r="A23" s="13" t="s">
        <v>506</v>
      </c>
      <c r="B23" s="13" t="s">
        <v>485</v>
      </c>
      <c r="C23" s="13" t="s">
        <v>508</v>
      </c>
      <c r="D23" s="12" t="n">
        <v>12</v>
      </c>
      <c r="E23" s="16" t="n">
        <f aca="false">(D23+F23)/2</f>
        <v>96</v>
      </c>
      <c r="F23" s="12" t="n">
        <v>180</v>
      </c>
      <c r="G23" s="14" t="n">
        <f aca="false">IF(COUNT(D23:F23)=3,(D23+4*E23+F23)/6,"")</f>
        <v>96</v>
      </c>
      <c r="H23" s="14" t="n">
        <f aca="false">IF(COUNT(D23:F23)=3,(F23-D23)/6,"")</f>
        <v>28</v>
      </c>
      <c r="I23" s="14" t="n">
        <f aca="false">IF(COUNT(D23:F23)=3,SQRT((G23-D23)*(F23-G23)/7),"")</f>
        <v>31.7490157327751</v>
      </c>
      <c r="J23" s="14" t="n">
        <f aca="false">IF(COUNT(D23:F23)=3,(D23+E23+F23)/3,"")</f>
        <v>96</v>
      </c>
      <c r="K23" s="13" t="s">
        <v>487</v>
      </c>
      <c r="L23" s="13" t="s">
        <v>498</v>
      </c>
    </row>
    <row r="24" customFormat="false" ht="15" hidden="false" customHeight="false" outlineLevel="0" collapsed="false">
      <c r="A24" s="13" t="s">
        <v>506</v>
      </c>
      <c r="B24" s="13" t="s">
        <v>489</v>
      </c>
      <c r="C24" s="13" t="s">
        <v>509</v>
      </c>
      <c r="D24" s="12" t="n">
        <v>4</v>
      </c>
      <c r="E24" s="12" t="n">
        <v>9</v>
      </c>
      <c r="F24" s="12" t="n">
        <v>16</v>
      </c>
      <c r="G24" s="14" t="n">
        <f aca="false">IF(COUNT(D24:F24)=3,(D24+4*E24+F24)/6,"")</f>
        <v>9.33333333333333</v>
      </c>
      <c r="H24" s="14" t="n">
        <f aca="false">IF(COUNT(D24:F24)=3,(F24-D24)/6,"")</f>
        <v>2</v>
      </c>
      <c r="I24" s="14" t="n">
        <f aca="false">IF(COUNT(D24:F24)=3,SQRT((G24-D24)*(F24-G24)/7),"")</f>
        <v>2.25374467927604</v>
      </c>
      <c r="J24" s="14" t="n">
        <f aca="false">IF(COUNT(D24:F24)=3,(D24+E24+F24)/3,"")</f>
        <v>9.66666666666667</v>
      </c>
      <c r="K24" s="13" t="s">
        <v>50</v>
      </c>
      <c r="L24" s="13"/>
    </row>
    <row r="25" customFormat="false" ht="15" hidden="false" customHeight="false" outlineLevel="0" collapsed="false">
      <c r="A25" s="13" t="s">
        <v>510</v>
      </c>
      <c r="B25" s="13" t="s">
        <v>481</v>
      </c>
      <c r="C25" s="13" t="s">
        <v>511</v>
      </c>
      <c r="D25" s="12" t="n">
        <v>5</v>
      </c>
      <c r="E25" s="12" t="n">
        <v>10</v>
      </c>
      <c r="F25" s="12" t="n">
        <v>20</v>
      </c>
      <c r="G25" s="14" t="n">
        <f aca="false">IF(COUNT(D25:F25)=3,(D25+4*E25+F25)/6,"")</f>
        <v>10.8333333333333</v>
      </c>
      <c r="H25" s="14" t="n">
        <f aca="false">IF(COUNT(D25:F25)=3,(F25-D25)/6,"")</f>
        <v>2.5</v>
      </c>
      <c r="I25" s="14" t="n">
        <f aca="false">IF(COUNT(D25:F25)=3,SQRT((G25-D25)*(F25-G25)/7),"")</f>
        <v>2.76385399196283</v>
      </c>
      <c r="J25" s="14" t="n">
        <f aca="false">IF(COUNT(D25:F25)=3,(D25+E25+F25)/3,"")</f>
        <v>11.6666666666667</v>
      </c>
      <c r="K25" s="13" t="s">
        <v>50</v>
      </c>
      <c r="L25" s="13"/>
    </row>
    <row r="26" customFormat="false" ht="15" hidden="false" customHeight="false" outlineLevel="0" collapsed="false">
      <c r="A26" s="13" t="s">
        <v>510</v>
      </c>
      <c r="B26" s="13" t="s">
        <v>483</v>
      </c>
      <c r="C26" s="13" t="s">
        <v>512</v>
      </c>
      <c r="D26" s="12" t="n">
        <v>1</v>
      </c>
      <c r="E26" s="12" t="n">
        <v>5</v>
      </c>
      <c r="F26" s="12" t="n">
        <v>20</v>
      </c>
      <c r="G26" s="14" t="n">
        <f aca="false">IF(COUNT(D26:F26)=3,(D26+4*E26+F26)/6,"")</f>
        <v>6.83333333333333</v>
      </c>
      <c r="H26" s="14" t="n">
        <f aca="false">IF(COUNT(D26:F26)=3,(F26-D26)/6,"")</f>
        <v>3.16666666666667</v>
      </c>
      <c r="I26" s="14" t="n">
        <f aca="false">IF(COUNT(D26:F26)=3,SQRT((G26-D26)*(F26-G26)/7),"")</f>
        <v>3.3124344857253</v>
      </c>
      <c r="J26" s="14" t="n">
        <f aca="false">IF(COUNT(D26:F26)=3,(D26+E26+F26)/3,"")</f>
        <v>8.66666666666667</v>
      </c>
      <c r="K26" s="13" t="s">
        <v>50</v>
      </c>
      <c r="L26" s="13"/>
    </row>
    <row r="27" customFormat="false" ht="15" hidden="false" customHeight="false" outlineLevel="0" collapsed="false">
      <c r="A27" s="13" t="s">
        <v>510</v>
      </c>
      <c r="B27" s="13" t="s">
        <v>485</v>
      </c>
      <c r="C27" s="13" t="s">
        <v>513</v>
      </c>
      <c r="D27" s="12" t="n">
        <v>11</v>
      </c>
      <c r="E27" s="12" t="n">
        <v>25</v>
      </c>
      <c r="F27" s="12" t="n">
        <v>203</v>
      </c>
      <c r="G27" s="14" t="n">
        <f aca="false">IF(COUNT(D27:F27)=3,(D27+4*E27+F27)/6,"")</f>
        <v>52.3333333333333</v>
      </c>
      <c r="H27" s="14" t="n">
        <f aca="false">IF(COUNT(D27:F27)=3,(F27-D27)/6,"")</f>
        <v>32</v>
      </c>
      <c r="I27" s="14" t="n">
        <f aca="false">IF(COUNT(D27:F27)=3,SQRT((G27-D27)*(F27-G27)/7),"")</f>
        <v>29.8270144944276</v>
      </c>
      <c r="J27" s="14" t="n">
        <f aca="false">IF(COUNT(D27:F27)=3,(D27+E27+F27)/3,"")</f>
        <v>79.6666666666667</v>
      </c>
      <c r="K27" s="13" t="s">
        <v>50</v>
      </c>
      <c r="L27" s="13"/>
    </row>
    <row r="28" customFormat="false" ht="15" hidden="false" customHeight="false" outlineLevel="0" collapsed="false">
      <c r="A28" s="13" t="s">
        <v>510</v>
      </c>
      <c r="B28" s="13" t="s">
        <v>489</v>
      </c>
      <c r="C28" s="13" t="s">
        <v>514</v>
      </c>
      <c r="D28" s="12" t="n">
        <v>2</v>
      </c>
      <c r="E28" s="12" t="n">
        <v>7</v>
      </c>
      <c r="F28" s="12" t="n">
        <v>30</v>
      </c>
      <c r="G28" s="14" t="n">
        <f aca="false">IF(COUNT(D28:F28)=3,(D28+4*E28+F28)/6,"")</f>
        <v>10</v>
      </c>
      <c r="H28" s="14" t="n">
        <f aca="false">IF(COUNT(D28:F28)=3,(F28-D28)/6,"")</f>
        <v>4.66666666666667</v>
      </c>
      <c r="I28" s="14" t="n">
        <f aca="false">IF(COUNT(D28:F28)=3,SQRT((G28-D28)*(F28-G28)/7),"")</f>
        <v>4.78091443733757</v>
      </c>
      <c r="J28" s="14" t="n">
        <f aca="false">IF(COUNT(D28:F28)=3,(D28+E28+F28)/3,"")</f>
        <v>13</v>
      </c>
      <c r="K28" s="13" t="s">
        <v>50</v>
      </c>
      <c r="L28" s="13"/>
    </row>
    <row r="29" customFormat="false" ht="15" hidden="false" customHeight="false" outlineLevel="0" collapsed="false">
      <c r="A29" s="17" t="s">
        <v>515</v>
      </c>
    </row>
    <row r="31" customFormat="false" ht="15.6" hidden="false" customHeight="false" outlineLevel="0" collapsed="false">
      <c r="A31" s="5" t="s">
        <v>1695</v>
      </c>
    </row>
    <row r="32" customFormat="false" ht="23.85" hidden="false" customHeight="false" outlineLevel="0" collapsed="false">
      <c r="A32" s="10" t="s">
        <v>469</v>
      </c>
      <c r="B32" s="10" t="s">
        <v>517</v>
      </c>
      <c r="C32" s="10" t="s">
        <v>518</v>
      </c>
      <c r="D32" s="10" t="s">
        <v>519</v>
      </c>
      <c r="E32" s="10" t="s">
        <v>520</v>
      </c>
      <c r="F32" s="10" t="s">
        <v>521</v>
      </c>
    </row>
    <row r="33" customFormat="false" ht="15" hidden="false" customHeight="false" outlineLevel="0" collapsed="false">
      <c r="A33" s="18" t="s">
        <v>480</v>
      </c>
      <c r="B33" s="19" t="s">
        <v>522</v>
      </c>
      <c r="C33" s="19" t="s">
        <v>523</v>
      </c>
      <c r="D33" s="19" t="s">
        <v>524</v>
      </c>
      <c r="E33" s="19" t="s">
        <v>525</v>
      </c>
      <c r="F33" s="19" t="s">
        <v>526</v>
      </c>
    </row>
    <row r="34" customFormat="false" ht="15" hidden="false" customHeight="false" outlineLevel="0" collapsed="false">
      <c r="A34" s="18" t="s">
        <v>491</v>
      </c>
      <c r="B34" s="19" t="s">
        <v>527</v>
      </c>
      <c r="C34" s="19" t="s">
        <v>528</v>
      </c>
      <c r="D34" s="19" t="s">
        <v>529</v>
      </c>
      <c r="E34" s="19" t="s">
        <v>530</v>
      </c>
      <c r="F34" s="19" t="s">
        <v>531</v>
      </c>
    </row>
    <row r="35" customFormat="false" ht="15" hidden="false" customHeight="false" outlineLevel="0" collapsed="false">
      <c r="A35" s="18" t="s">
        <v>495</v>
      </c>
      <c r="B35" s="19" t="s">
        <v>532</v>
      </c>
      <c r="C35" s="19" t="s">
        <v>532</v>
      </c>
      <c r="D35" s="19" t="s">
        <v>533</v>
      </c>
      <c r="E35" s="19" t="s">
        <v>534</v>
      </c>
      <c r="F35" s="19" t="s">
        <v>535</v>
      </c>
    </row>
    <row r="36" customFormat="false" ht="15" hidden="false" customHeight="false" outlineLevel="0" collapsed="false">
      <c r="A36" s="18" t="s">
        <v>501</v>
      </c>
      <c r="B36" s="19" t="s">
        <v>532</v>
      </c>
      <c r="C36" s="19" t="s">
        <v>532</v>
      </c>
      <c r="D36" s="19" t="s">
        <v>536</v>
      </c>
      <c r="E36" s="19" t="s">
        <v>537</v>
      </c>
      <c r="F36" s="19" t="s">
        <v>538</v>
      </c>
    </row>
    <row r="37" customFormat="false" ht="15" hidden="false" customHeight="false" outlineLevel="0" collapsed="false">
      <c r="A37" s="18" t="s">
        <v>506</v>
      </c>
      <c r="B37" s="19" t="s">
        <v>532</v>
      </c>
      <c r="C37" s="19" t="s">
        <v>532</v>
      </c>
      <c r="D37" s="19" t="s">
        <v>539</v>
      </c>
      <c r="E37" s="19" t="s">
        <v>540</v>
      </c>
      <c r="F37" s="19" t="s">
        <v>541</v>
      </c>
    </row>
    <row r="38" customFormat="false" ht="15" hidden="false" customHeight="false" outlineLevel="0" collapsed="false">
      <c r="A38" s="18" t="s">
        <v>510</v>
      </c>
      <c r="B38" s="19" t="s">
        <v>532</v>
      </c>
      <c r="C38" s="19" t="s">
        <v>532</v>
      </c>
      <c r="D38" s="19" t="s">
        <v>542</v>
      </c>
      <c r="E38" s="19" t="s">
        <v>543</v>
      </c>
      <c r="F38" s="19" t="s">
        <v>544</v>
      </c>
    </row>
    <row r="39" customFormat="false" ht="15.6" hidden="false" customHeight="false" outlineLevel="0" collapsed="false">
      <c r="A39" s="17" t="s">
        <v>1696</v>
      </c>
    </row>
    <row r="41" customFormat="false" ht="15" hidden="false" customHeight="false" outlineLevel="0" collapsed="false">
      <c r="A41" s="5" t="s">
        <v>546</v>
      </c>
    </row>
    <row r="42" customFormat="false" ht="23.85" hidden="false" customHeight="false" outlineLevel="0" collapsed="false">
      <c r="A42" s="10" t="s">
        <v>470</v>
      </c>
      <c r="B42" s="10" t="s">
        <v>547</v>
      </c>
      <c r="C42" s="10" t="s">
        <v>548</v>
      </c>
      <c r="D42" s="10" t="s">
        <v>549</v>
      </c>
      <c r="E42" s="10" t="s">
        <v>550</v>
      </c>
      <c r="F42" s="10" t="s">
        <v>551</v>
      </c>
    </row>
    <row r="43" customFormat="false" ht="15" hidden="false" customHeight="false" outlineLevel="0" collapsed="false">
      <c r="A43" s="18" t="s">
        <v>552</v>
      </c>
      <c r="B43" s="19" t="n">
        <v>139</v>
      </c>
      <c r="C43" s="19" t="n">
        <v>93</v>
      </c>
      <c r="D43" s="18" t="n">
        <f aca="false">B43-C43</f>
        <v>46</v>
      </c>
      <c r="E43" s="20" t="n">
        <f aca="false">IF(B43=0,"",D43/B43)</f>
        <v>0.330935251798561</v>
      </c>
      <c r="F43" s="21" t="n">
        <v>0.33</v>
      </c>
    </row>
    <row r="44" customFormat="false" ht="15" hidden="false" customHeight="false" outlineLevel="0" collapsed="false">
      <c r="A44" s="18" t="s">
        <v>518</v>
      </c>
      <c r="B44" s="19" t="n">
        <v>159</v>
      </c>
      <c r="C44" s="19" t="n">
        <v>102</v>
      </c>
      <c r="D44" s="18" t="n">
        <f aca="false">B44-C44</f>
        <v>57</v>
      </c>
      <c r="E44" s="20" t="n">
        <f aca="false">IF(B44=0,"",D44/B44)</f>
        <v>0.358490566037736</v>
      </c>
      <c r="F44" s="21" t="n">
        <v>0.36</v>
      </c>
    </row>
    <row r="45" customFormat="false" ht="15" hidden="false" customHeight="false" outlineLevel="0" collapsed="false">
      <c r="A45" s="18" t="s">
        <v>481</v>
      </c>
      <c r="B45" s="19" t="n">
        <v>143</v>
      </c>
      <c r="C45" s="19" t="n">
        <v>117</v>
      </c>
      <c r="D45" s="18" t="n">
        <f aca="false">B45-C45</f>
        <v>26</v>
      </c>
      <c r="E45" s="20" t="n">
        <f aca="false">IF(B45=0,"",D45/B45)</f>
        <v>0.181818181818182</v>
      </c>
      <c r="F45" s="21" t="n">
        <v>0.18</v>
      </c>
    </row>
    <row r="46" customFormat="false" ht="15" hidden="false" customHeight="false" outlineLevel="0" collapsed="false">
      <c r="A46" s="18" t="s">
        <v>553</v>
      </c>
      <c r="B46" s="19" t="n">
        <v>221</v>
      </c>
      <c r="C46" s="19" t="n">
        <v>217</v>
      </c>
      <c r="D46" s="18" t="n">
        <f aca="false">B46-C46</f>
        <v>4</v>
      </c>
      <c r="E46" s="20" t="n">
        <f aca="false">IF(B46=0,"",D46/B46)</f>
        <v>0.0180995475113122</v>
      </c>
      <c r="F46" s="21" t="n">
        <v>0.02</v>
      </c>
    </row>
    <row r="47" customFormat="false" ht="15" hidden="false" customHeight="false" outlineLevel="0" collapsed="false">
      <c r="A47" s="5" t="s">
        <v>554</v>
      </c>
      <c r="B47" s="5" t="n">
        <f aca="false">SUM(B43:B46)</f>
        <v>662</v>
      </c>
      <c r="C47" s="5" t="n">
        <f aca="false">SUM(C43:C46)</f>
        <v>529</v>
      </c>
      <c r="D47" s="5" t="n">
        <f aca="false">B47-C47</f>
        <v>133</v>
      </c>
      <c r="E47" s="22" t="n">
        <f aca="false">IF(B47=0,"",D47/B47)</f>
        <v>0.200906344410876</v>
      </c>
      <c r="F47" s="23" t="n">
        <v>0.2</v>
      </c>
    </row>
    <row r="48" customFormat="false" ht="15" hidden="false" customHeight="false" outlineLevel="0" collapsed="false">
      <c r="A48" s="17" t="s">
        <v>555</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16"/>
    <col collapsed="false" customWidth="true" hidden="false" outlineLevel="0" max="5" min="5" style="0" width="46"/>
    <col collapsed="false" customWidth="true" hidden="false" outlineLevel="0" max="6" min="6" style="0" width="18"/>
  </cols>
  <sheetData>
    <row r="1" customFormat="false" ht="17.35" hidden="false" customHeight="false" outlineLevel="0" collapsed="false">
      <c r="A1" s="1" t="s">
        <v>556</v>
      </c>
    </row>
    <row r="2" customFormat="false" ht="15" hidden="false" customHeight="false" outlineLevel="0" collapsed="false">
      <c r="A2" s="2" t="s">
        <v>557</v>
      </c>
    </row>
    <row r="4" customFormat="false" ht="23.85" hidden="false" customHeight="false" outlineLevel="0" collapsed="false">
      <c r="A4" s="10" t="s">
        <v>469</v>
      </c>
      <c r="B4" s="10" t="s">
        <v>558</v>
      </c>
      <c r="C4" s="10" t="s">
        <v>559</v>
      </c>
      <c r="D4" s="10" t="s">
        <v>560</v>
      </c>
      <c r="E4" s="10" t="s">
        <v>561</v>
      </c>
      <c r="F4" s="10" t="s">
        <v>562</v>
      </c>
    </row>
    <row r="5" customFormat="false" ht="15" hidden="false" customHeight="false" outlineLevel="0" collapsed="false">
      <c r="A5" s="18" t="s">
        <v>480</v>
      </c>
      <c r="B5" s="24" t="n">
        <v>0.407</v>
      </c>
      <c r="C5" s="25" t="n">
        <v>6099</v>
      </c>
      <c r="D5" s="26" t="n">
        <f aca="false">C5/$C$11</f>
        <v>0.39802910657182</v>
      </c>
      <c r="E5" s="27" t="n">
        <f aca="false">C5/$B$14</f>
        <v>16.7095890410959</v>
      </c>
      <c r="F5" s="27" t="n">
        <f aca="false">C5/$B$15</f>
        <v>23.4576923076923</v>
      </c>
    </row>
    <row r="6" customFormat="false" ht="15" hidden="false" customHeight="false" outlineLevel="0" collapsed="false">
      <c r="A6" s="18" t="s">
        <v>491</v>
      </c>
      <c r="B6" s="24" t="n">
        <v>0.257</v>
      </c>
      <c r="C6" s="25" t="n">
        <v>3910</v>
      </c>
      <c r="D6" s="26" t="n">
        <f aca="false">C6/$C$11</f>
        <v>0.255171963714677</v>
      </c>
      <c r="E6" s="27" t="n">
        <f aca="false">C6/$B$14</f>
        <v>10.7123287671233</v>
      </c>
      <c r="F6" s="27" t="n">
        <f aca="false">C6/$B$15</f>
        <v>15.0384615384615</v>
      </c>
    </row>
    <row r="7" customFormat="false" ht="15" hidden="false" customHeight="false" outlineLevel="0" collapsed="false">
      <c r="A7" s="18" t="s">
        <v>495</v>
      </c>
      <c r="B7" s="24" t="n">
        <v>0.188</v>
      </c>
      <c r="C7" s="25" t="n">
        <v>3014</v>
      </c>
      <c r="D7" s="26" t="n">
        <f aca="false">C7/$C$11</f>
        <v>0.196697774587222</v>
      </c>
      <c r="E7" s="27" t="n">
        <f aca="false">C7/$B$14</f>
        <v>8.25753424657534</v>
      </c>
      <c r="F7" s="27" t="n">
        <f aca="false">C7/$B$15</f>
        <v>11.5923076923077</v>
      </c>
    </row>
    <row r="8" customFormat="false" ht="15" hidden="false" customHeight="false" outlineLevel="0" collapsed="false">
      <c r="A8" s="18" t="s">
        <v>501</v>
      </c>
      <c r="B8" s="24" t="n">
        <v>0.071</v>
      </c>
      <c r="C8" s="25" t="n">
        <v>1240</v>
      </c>
      <c r="D8" s="26" t="n">
        <f aca="false">C8/$C$11</f>
        <v>0.0809241010246035</v>
      </c>
      <c r="E8" s="27" t="n">
        <f aca="false">C8/$B$14</f>
        <v>3.3972602739726</v>
      </c>
      <c r="F8" s="27" t="n">
        <f aca="false">C8/$B$15</f>
        <v>4.76923076923077</v>
      </c>
    </row>
    <row r="9" customFormat="false" ht="15" hidden="false" customHeight="false" outlineLevel="0" collapsed="false">
      <c r="A9" s="18" t="s">
        <v>506</v>
      </c>
      <c r="B9" s="24" t="n">
        <v>0.04</v>
      </c>
      <c r="C9" s="25" t="n">
        <v>581</v>
      </c>
      <c r="D9" s="26" t="n">
        <f aca="false">C9/$C$11</f>
        <v>0.0379168570123344</v>
      </c>
      <c r="E9" s="27" t="n">
        <f aca="false">C9/$B$14</f>
        <v>1.59178082191781</v>
      </c>
      <c r="F9" s="27" t="n">
        <f aca="false">C9/$B$15</f>
        <v>2.23461538461538</v>
      </c>
    </row>
    <row r="10" customFormat="false" ht="15" hidden="false" customHeight="false" outlineLevel="0" collapsed="false">
      <c r="A10" s="18" t="s">
        <v>510</v>
      </c>
      <c r="B10" s="24" t="n">
        <v>0.037</v>
      </c>
      <c r="C10" s="25" t="n">
        <v>479</v>
      </c>
      <c r="D10" s="26" t="n">
        <f aca="false">C10/$C$11</f>
        <v>0.0312601970893428</v>
      </c>
      <c r="E10" s="27" t="n">
        <f aca="false">C10/$B$14</f>
        <v>1.31232876712329</v>
      </c>
      <c r="F10" s="27" t="n">
        <f aca="false">C10/$B$15</f>
        <v>1.84230769230769</v>
      </c>
    </row>
    <row r="11" customFormat="false" ht="15" hidden="false" customHeight="false" outlineLevel="0" collapsed="false">
      <c r="A11" s="5" t="s">
        <v>563</v>
      </c>
      <c r="B11" s="28" t="n">
        <f aca="false">SUM(B5:B10)</f>
        <v>1</v>
      </c>
      <c r="C11" s="29" t="n">
        <f aca="false">SUM(C5:C10)</f>
        <v>15323</v>
      </c>
      <c r="D11" s="28" t="n">
        <f aca="false">SUM(D5:D10)</f>
        <v>1</v>
      </c>
      <c r="E11" s="30" t="n">
        <f aca="false">SUM(E5:E10)</f>
        <v>41.9808219178082</v>
      </c>
      <c r="F11" s="30" t="n">
        <f aca="false">SUM(F5:F10)</f>
        <v>58.9346153846154</v>
      </c>
    </row>
    <row r="12" customFormat="false" ht="15.6" hidden="false" customHeight="false" outlineLevel="0" collapsed="false">
      <c r="A12" s="17" t="s">
        <v>1697</v>
      </c>
    </row>
    <row r="14" customFormat="false" ht="15.6" hidden="false" customHeight="false" outlineLevel="0" collapsed="false">
      <c r="A14" s="8" t="s">
        <v>565</v>
      </c>
      <c r="B14" s="6" t="n">
        <v>365</v>
      </c>
      <c r="C14" s="31" t="s">
        <v>1698</v>
      </c>
    </row>
    <row r="15" customFormat="false" ht="15" hidden="false" customHeight="false" outlineLevel="0" collapsed="false">
      <c r="A15" s="8" t="s">
        <v>567</v>
      </c>
      <c r="B15" s="32" t="n">
        <v>260</v>
      </c>
      <c r="C15" s="31" t="s">
        <v>568</v>
      </c>
    </row>
    <row r="17" customFormat="false" ht="15" hidden="false" customHeight="false" outlineLevel="0" collapsed="false">
      <c r="A17" s="5" t="s">
        <v>569</v>
      </c>
    </row>
    <row r="18" customFormat="false" ht="23.85" hidden="false" customHeight="false" outlineLevel="0" collapsed="false">
      <c r="A18" s="10" t="s">
        <v>570</v>
      </c>
      <c r="B18" s="10" t="s">
        <v>125</v>
      </c>
      <c r="C18" s="10" t="s">
        <v>571</v>
      </c>
    </row>
    <row r="19" customFormat="false" ht="15" hidden="false" customHeight="false" outlineLevel="0" collapsed="false">
      <c r="A19" s="6" t="n">
        <v>1</v>
      </c>
      <c r="B19" s="33" t="n">
        <v>0.85</v>
      </c>
      <c r="C19" s="34" t="n">
        <f aca="false">A19*B19</f>
        <v>0.85</v>
      </c>
    </row>
    <row r="20" customFormat="false" ht="15" hidden="false" customHeight="false" outlineLevel="0" collapsed="false">
      <c r="A20" s="6" t="n">
        <v>2</v>
      </c>
      <c r="B20" s="33" t="n">
        <v>0.1</v>
      </c>
      <c r="C20" s="34" t="n">
        <f aca="false">A20*B20</f>
        <v>0.2</v>
      </c>
    </row>
    <row r="21" customFormat="false" ht="15" hidden="false" customHeight="false" outlineLevel="0" collapsed="false">
      <c r="A21" s="6" t="n">
        <v>3</v>
      </c>
      <c r="B21" s="33" t="n">
        <v>0.05</v>
      </c>
      <c r="C21" s="34" t="n">
        <f aca="false">A21*B21</f>
        <v>0.15</v>
      </c>
    </row>
    <row r="22" customFormat="false" ht="15" hidden="false" customHeight="false" outlineLevel="0" collapsed="false">
      <c r="A22" s="5" t="s">
        <v>572</v>
      </c>
      <c r="C22" s="35" t="n">
        <f aca="false">SUM(C19:C21)</f>
        <v>1.2</v>
      </c>
    </row>
    <row r="23" customFormat="false" ht="15" hidden="false" customHeight="false" outlineLevel="0" collapsed="false">
      <c r="A23" s="8" t="s">
        <v>573</v>
      </c>
      <c r="C23" s="36" t="n">
        <f aca="false">SUM(B19:B21)</f>
        <v>1</v>
      </c>
    </row>
    <row r="25" customFormat="false" ht="15" hidden="false" customHeight="false" outlineLevel="0" collapsed="false">
      <c r="A25" s="5" t="s">
        <v>574</v>
      </c>
    </row>
    <row r="26" customFormat="false" ht="23.85" hidden="false" customHeight="false" outlineLevel="0" collapsed="false">
      <c r="A26" s="10" t="s">
        <v>575</v>
      </c>
      <c r="B26" s="10" t="s">
        <v>576</v>
      </c>
      <c r="C26" s="10" t="s">
        <v>577</v>
      </c>
      <c r="D26" s="10" t="s">
        <v>578</v>
      </c>
      <c r="E26" s="10" t="s">
        <v>579</v>
      </c>
    </row>
    <row r="27" customFormat="false" ht="15" hidden="false" customHeight="false" outlineLevel="0" collapsed="false">
      <c r="A27" s="18" t="s">
        <v>580</v>
      </c>
      <c r="B27" s="37" t="n">
        <v>0.7</v>
      </c>
      <c r="C27" s="27" t="n">
        <f aca="false">$E$11*B27</f>
        <v>29.3865753424658</v>
      </c>
      <c r="D27" s="27" t="n">
        <f aca="false">IF($C$22=0,"",C27/$C$22)</f>
        <v>24.4888127853881</v>
      </c>
      <c r="E27" s="38" t="s">
        <v>581</v>
      </c>
    </row>
    <row r="28" customFormat="false" ht="15" hidden="false" customHeight="false" outlineLevel="0" collapsed="false">
      <c r="A28" s="18" t="s">
        <v>582</v>
      </c>
      <c r="B28" s="39" t="n">
        <v>1</v>
      </c>
      <c r="C28" s="27" t="n">
        <f aca="false">$E$11*B28</f>
        <v>41.9808219178082</v>
      </c>
      <c r="D28" s="27" t="n">
        <f aca="false">IF($C$22=0,"",C28/$C$22)</f>
        <v>34.9840182648402</v>
      </c>
      <c r="E28" s="38" t="s">
        <v>583</v>
      </c>
    </row>
    <row r="29" customFormat="false" ht="15" hidden="false" customHeight="false" outlineLevel="0" collapsed="false">
      <c r="A29" s="18" t="s">
        <v>584</v>
      </c>
      <c r="B29" s="39" t="n">
        <v>1.5</v>
      </c>
      <c r="C29" s="27" t="n">
        <f aca="false">$E$11*B29</f>
        <v>62.9712328767123</v>
      </c>
      <c r="D29" s="27" t="n">
        <f aca="false">IF($C$22=0,"",C29/$C$22)</f>
        <v>52.4760273972603</v>
      </c>
      <c r="E29" s="38" t="s">
        <v>585</v>
      </c>
    </row>
    <row r="31" customFormat="false" ht="15" hidden="false" customHeight="false" outlineLevel="0" collapsed="false">
      <c r="A31" s="17" t="s">
        <v>586</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24"/>
    <col collapsed="false" customWidth="true" hidden="false" outlineLevel="0" max="4" min="4" style="0" width="38"/>
    <col collapsed="false" customWidth="true" hidden="false" outlineLevel="0" max="5" min="5" style="0" width="15"/>
    <col collapsed="false" customWidth="true" hidden="false" outlineLevel="0" max="6" min="6" style="0" width="26"/>
    <col collapsed="false" customWidth="true" hidden="false" outlineLevel="0" max="7" min="7" style="0" width="11"/>
    <col collapsed="false" customWidth="true" hidden="false" outlineLevel="0" max="8" min="8" style="0" width="12"/>
    <col collapsed="false" customWidth="true" hidden="false" outlineLevel="0" max="10" min="9" style="0" width="10"/>
    <col collapsed="false" customWidth="true" hidden="false" outlineLevel="0" max="11" min="11" style="0" width="17"/>
    <col collapsed="false" customWidth="true" hidden="false" outlineLevel="0" max="13" min="12" style="0" width="13"/>
    <col collapsed="false" customWidth="true" hidden="false" outlineLevel="0" max="14" min="14" style="0" width="28"/>
    <col collapsed="false" customWidth="true" hidden="false" outlineLevel="0" max="17" min="15" style="0" width="10"/>
    <col collapsed="false" customWidth="true" hidden="false" outlineLevel="0" max="19" min="18" style="0" width="9"/>
    <col collapsed="false" customWidth="true" hidden="false" outlineLevel="0" max="21" min="20" style="0" width="11"/>
    <col collapsed="false" customWidth="true" hidden="false" outlineLevel="0" max="26" min="22" style="0" width="5"/>
    <col collapsed="false" customWidth="true" hidden="false" outlineLevel="0" max="27" min="27" style="0" width="42"/>
  </cols>
  <sheetData>
    <row r="1" customFormat="false" ht="17.35" hidden="false" customHeight="false" outlineLevel="0" collapsed="false">
      <c r="A1" s="1" t="s">
        <v>587</v>
      </c>
    </row>
    <row r="2" customFormat="false" ht="15" hidden="false" customHeight="false" outlineLevel="0" collapsed="false">
      <c r="A2" s="2" t="s">
        <v>588</v>
      </c>
    </row>
    <row r="3" customFormat="false" ht="15" hidden="false" customHeight="false" outlineLevel="0" collapsed="false">
      <c r="A3" s="17" t="s">
        <v>589</v>
      </c>
    </row>
    <row r="4" customFormat="false" ht="35.05" hidden="false" customHeight="false" outlineLevel="0" collapsed="false">
      <c r="A4" s="10" t="s">
        <v>36</v>
      </c>
      <c r="B4" s="10" t="s">
        <v>469</v>
      </c>
      <c r="C4" s="10" t="s">
        <v>590</v>
      </c>
      <c r="D4" s="10" t="s">
        <v>591</v>
      </c>
      <c r="E4" s="10" t="s">
        <v>592</v>
      </c>
      <c r="F4" s="10" t="s">
        <v>593</v>
      </c>
      <c r="G4" s="10" t="s">
        <v>594</v>
      </c>
      <c r="H4" s="10" t="s">
        <v>595</v>
      </c>
      <c r="I4" s="10" t="s">
        <v>596</v>
      </c>
      <c r="J4" s="10" t="s">
        <v>597</v>
      </c>
      <c r="K4" s="10" t="s">
        <v>598</v>
      </c>
      <c r="L4" s="10" t="s">
        <v>599</v>
      </c>
      <c r="M4" s="10" t="s">
        <v>600</v>
      </c>
      <c r="N4" s="10" t="s">
        <v>601</v>
      </c>
      <c r="O4" s="10" t="s">
        <v>602</v>
      </c>
      <c r="P4" s="10" t="s">
        <v>603</v>
      </c>
      <c r="Q4" s="10" t="s">
        <v>604</v>
      </c>
      <c r="R4" s="10" t="s">
        <v>605</v>
      </c>
      <c r="S4" s="10" t="s">
        <v>606</v>
      </c>
      <c r="T4" s="10" t="s">
        <v>607</v>
      </c>
      <c r="U4" s="10" t="s">
        <v>608</v>
      </c>
      <c r="V4" s="10" t="s">
        <v>609</v>
      </c>
      <c r="W4" s="10" t="s">
        <v>610</v>
      </c>
      <c r="X4" s="10" t="s">
        <v>611</v>
      </c>
      <c r="Y4" s="10" t="s">
        <v>612</v>
      </c>
      <c r="Z4" s="10" t="s">
        <v>613</v>
      </c>
      <c r="AA4" s="10" t="s">
        <v>614</v>
      </c>
    </row>
    <row r="5" customFormat="false" ht="35.05" hidden="false" customHeight="false" outlineLevel="0" collapsed="false">
      <c r="A5" s="11" t="s">
        <v>615</v>
      </c>
      <c r="B5" s="11" t="s">
        <v>480</v>
      </c>
      <c r="C5" s="11" t="s">
        <v>616</v>
      </c>
      <c r="D5" s="11" t="s">
        <v>617</v>
      </c>
      <c r="E5" s="11" t="s">
        <v>618</v>
      </c>
      <c r="F5" s="11" t="s">
        <v>619</v>
      </c>
      <c r="G5" s="12" t="s">
        <v>620</v>
      </c>
      <c r="H5" s="40" t="s">
        <v>621</v>
      </c>
      <c r="I5" s="41" t="n">
        <f aca="false">INDEX('Calibración del catálogo'!$B$6:$B$8,MATCH(H5,'Calibración del catálogo'!$A$6:$A$8,0))</f>
        <v>1</v>
      </c>
      <c r="J5" s="41" t="n">
        <f aca="false">INDEX('Calibración del catálogo'!$C$6:$C$8,MATCH(H5,'Calibración del catálogo'!$A$6:$A$8,0))</f>
        <v>2</v>
      </c>
      <c r="K5" s="11" t="str">
        <f aca="false">INDEX('Calibración del catálogo'!$E$6:$E$8,MATCH(H5,'Calibración del catálogo'!$A$6:$A$8,0))</f>
        <v>Júnior o superior</v>
      </c>
      <c r="L5" s="42" t="n">
        <f aca="false">IFERROR(INDEX('Calibración del catálogo'!$L$16:$L$21,MATCH(A5,'Calibración del catálogo'!$H$16:$H$21,0)),INDEX('Calibración del catálogo'!$M$16:$M$21,MATCH(A5,'Calibración del catálogo'!$J$16:$J$21,0)))</f>
        <v>0.756896551724138</v>
      </c>
      <c r="M5" s="42" t="n">
        <f aca="false">IFERROR(L5*INDEX(Demanda!$B$5:$B$10,MATCH(B5,Demanda!$A$5:$A$10,0)),"revisar")</f>
        <v>0.308056896551724</v>
      </c>
      <c r="N5" s="11" t="s">
        <v>622</v>
      </c>
      <c r="O5" s="43" t="n">
        <f aca="false">IFERROR(P5*(1-'Calibración del catálogo'!$D$25),"revisar")</f>
        <v>49.829437776374</v>
      </c>
      <c r="P5" s="43" t="n">
        <f aca="false">'Calibración del catálogo'!E25</f>
        <v>62.2867972204675</v>
      </c>
      <c r="Q5" s="43" t="n">
        <f aca="false">IFERROR(P5*(1+'Calibración del catálogo'!$D$25),"revisar")</f>
        <v>74.744156664561</v>
      </c>
      <c r="R5" s="42"/>
      <c r="S5" s="42"/>
      <c r="T5" s="43" t="n">
        <f aca="false">P5</f>
        <v>62.2867972204675</v>
      </c>
      <c r="U5" s="44" t="n">
        <f aca="false">INDEX('Calibración del catálogo'!$H$6:$H$8,MATCH(H5,'Calibración del catálogo'!$A$6:$A$8,0))</f>
        <v>0.012466403367975</v>
      </c>
      <c r="V5" s="40" t="s">
        <v>623</v>
      </c>
      <c r="W5" s="40" t="s">
        <v>623</v>
      </c>
      <c r="X5" s="40" t="s">
        <v>623</v>
      </c>
      <c r="Y5" s="40" t="s">
        <v>623</v>
      </c>
      <c r="Z5" s="40" t="s">
        <v>623</v>
      </c>
      <c r="AA5" s="11" t="s">
        <v>624</v>
      </c>
    </row>
    <row r="6" customFormat="false" ht="23.85" hidden="false" customHeight="false" outlineLevel="0" collapsed="false">
      <c r="A6" s="11" t="s">
        <v>625</v>
      </c>
      <c r="B6" s="11" t="s">
        <v>480</v>
      </c>
      <c r="C6" s="11" t="s">
        <v>626</v>
      </c>
      <c r="D6" s="11" t="s">
        <v>627</v>
      </c>
      <c r="E6" s="11" t="s">
        <v>628</v>
      </c>
      <c r="F6" s="11" t="s">
        <v>629</v>
      </c>
      <c r="G6" s="12" t="s">
        <v>620</v>
      </c>
      <c r="H6" s="40" t="s">
        <v>630</v>
      </c>
      <c r="I6" s="41" t="n">
        <f aca="false">INDEX('Calibración del catálogo'!$B$6:$B$8,MATCH(H6,'Calibración del catálogo'!$A$6:$A$8,0))</f>
        <v>3</v>
      </c>
      <c r="J6" s="41" t="n">
        <f aca="false">INDEX('Calibración del catálogo'!$C$6:$C$8,MATCH(H6,'Calibración del catálogo'!$A$6:$A$8,0))</f>
        <v>4</v>
      </c>
      <c r="K6" s="11" t="str">
        <f aca="false">INDEX('Calibración del catálogo'!$E$6:$E$8,MATCH(H6,'Calibración del catálogo'!$A$6:$A$8,0))</f>
        <v>Intermedio o superior</v>
      </c>
      <c r="L6" s="42" t="n">
        <f aca="false">IFERROR(INDEX('Calibración del catálogo'!$L$16:$L$21,MATCH(A6,'Calibración del catálogo'!$H$16:$H$21,0)),INDEX('Calibración del catálogo'!$M$16:$M$21,MATCH(A6,'Calibración del catálogo'!$J$16:$J$21,0)))</f>
        <v>0.243103448275862</v>
      </c>
      <c r="M6" s="42" t="n">
        <f aca="false">IFERROR(L6*INDEX(Demanda!$B$5:$B$10,MATCH(B6,Demanda!$A$5:$A$10,0)),"revisar")</f>
        <v>0.0989431034482759</v>
      </c>
      <c r="N6" s="11" t="s">
        <v>622</v>
      </c>
      <c r="O6" s="43" t="n">
        <f aca="false">IFERROR(P6*(1-'Calibración del catálogo'!$D$25),"revisar")</f>
        <v>124.573594440935</v>
      </c>
      <c r="P6" s="43" t="n">
        <f aca="false">'Calibración del catálogo'!F25</f>
        <v>155.716993051169</v>
      </c>
      <c r="Q6" s="43" t="n">
        <f aca="false">IFERROR(P6*(1+'Calibración del catálogo'!$D$25),"revisar")</f>
        <v>186.860391661402</v>
      </c>
      <c r="R6" s="42"/>
      <c r="S6" s="42"/>
      <c r="T6" s="43" t="n">
        <f aca="false">P6</f>
        <v>155.716993051169</v>
      </c>
      <c r="U6" s="44" t="n">
        <f aca="false">INDEX('Calibración del catálogo'!$H$6:$H$8,MATCH(H6,'Calibración del catálogo'!$A$6:$A$8,0))</f>
        <v>0.02493280673595</v>
      </c>
      <c r="V6" s="40" t="s">
        <v>623</v>
      </c>
      <c r="W6" s="40"/>
      <c r="X6" s="40" t="s">
        <v>623</v>
      </c>
      <c r="Y6" s="40" t="s">
        <v>623</v>
      </c>
      <c r="Z6" s="40" t="s">
        <v>623</v>
      </c>
      <c r="AA6" s="11" t="s">
        <v>631</v>
      </c>
    </row>
    <row r="7" customFormat="false" ht="23.85" hidden="false" customHeight="false" outlineLevel="0" collapsed="false">
      <c r="A7" s="11" t="s">
        <v>632</v>
      </c>
      <c r="B7" s="11" t="s">
        <v>491</v>
      </c>
      <c r="C7" s="11" t="s">
        <v>633</v>
      </c>
      <c r="D7" s="11" t="s">
        <v>634</v>
      </c>
      <c r="E7" s="11" t="s">
        <v>618</v>
      </c>
      <c r="F7" s="11" t="s">
        <v>635</v>
      </c>
      <c r="G7" s="12" t="s">
        <v>620</v>
      </c>
      <c r="H7" s="40" t="s">
        <v>621</v>
      </c>
      <c r="I7" s="41" t="n">
        <f aca="false">INDEX('Calibración del catálogo'!$B$6:$B$8,MATCH(H7,'Calibración del catálogo'!$A$6:$A$8,0))</f>
        <v>1</v>
      </c>
      <c r="J7" s="41" t="n">
        <f aca="false">INDEX('Calibración del catálogo'!$C$6:$C$8,MATCH(H7,'Calibración del catálogo'!$A$6:$A$8,0))</f>
        <v>2</v>
      </c>
      <c r="K7" s="11" t="str">
        <f aca="false">INDEX('Calibración del catálogo'!$E$6:$E$8,MATCH(H7,'Calibración del catálogo'!$A$6:$A$8,0))</f>
        <v>Júnior o superior</v>
      </c>
      <c r="L7" s="42" t="n">
        <f aca="false">IFERROR(INDEX('Calibración del catálogo'!$L$16:$L$21,MATCH(A7,'Calibración del catálogo'!$H$16:$H$21,0)),INDEX('Calibración del catálogo'!$M$16:$M$21,MATCH(A7,'Calibración del catálogo'!$J$16:$J$21,0)))</f>
        <v>0.31</v>
      </c>
      <c r="M7" s="42" t="n">
        <f aca="false">IFERROR(L7*INDEX(Demanda!$B$5:$B$10,MATCH(B7,Demanda!$A$5:$A$10,0)),"revisar")</f>
        <v>0.07967</v>
      </c>
      <c r="N7" s="11" t="s">
        <v>622</v>
      </c>
      <c r="O7" s="43" t="n">
        <f aca="false">IFERROR(P7*(1-'Calibración del catálogo'!$D$26),"revisar")</f>
        <v>36.8773234200744</v>
      </c>
      <c r="P7" s="43" t="n">
        <f aca="false">'Calibración del catálogo'!E26</f>
        <v>46.0966542750929</v>
      </c>
      <c r="Q7" s="43" t="n">
        <f aca="false">IFERROR(P7*(1+'Calibración del catálogo'!$D$26),"revisar")</f>
        <v>55.3159851301115</v>
      </c>
      <c r="R7" s="42"/>
      <c r="S7" s="42"/>
      <c r="T7" s="43" t="n">
        <f aca="false">P7</f>
        <v>46.0966542750929</v>
      </c>
      <c r="U7" s="44" t="n">
        <f aca="false">INDEX('Calibración del catálogo'!$H$6:$H$8,MATCH(H7,'Calibración del catálogo'!$A$6:$A$8,0))</f>
        <v>0.012466403367975</v>
      </c>
      <c r="V7" s="40" t="s">
        <v>623</v>
      </c>
      <c r="W7" s="40"/>
      <c r="X7" s="40"/>
      <c r="Y7" s="40"/>
      <c r="Z7" s="40"/>
      <c r="AA7" s="11" t="s">
        <v>636</v>
      </c>
    </row>
    <row r="8" customFormat="false" ht="35.05" hidden="false" customHeight="false" outlineLevel="0" collapsed="false">
      <c r="A8" s="11" t="s">
        <v>637</v>
      </c>
      <c r="B8" s="11" t="s">
        <v>491</v>
      </c>
      <c r="C8" s="11" t="s">
        <v>638</v>
      </c>
      <c r="D8" s="11" t="s">
        <v>639</v>
      </c>
      <c r="E8" s="11" t="s">
        <v>640</v>
      </c>
      <c r="F8" s="11" t="s">
        <v>641</v>
      </c>
      <c r="G8" s="12" t="s">
        <v>620</v>
      </c>
      <c r="H8" s="40" t="s">
        <v>630</v>
      </c>
      <c r="I8" s="41" t="n">
        <f aca="false">INDEX('Calibración del catálogo'!$B$6:$B$8,MATCH(H8,'Calibración del catálogo'!$A$6:$A$8,0))</f>
        <v>3</v>
      </c>
      <c r="J8" s="41" t="n">
        <f aca="false">INDEX('Calibración del catálogo'!$C$6:$C$8,MATCH(H8,'Calibración del catálogo'!$A$6:$A$8,0))</f>
        <v>4</v>
      </c>
      <c r="K8" s="11" t="str">
        <f aca="false">INDEX('Calibración del catálogo'!$E$6:$E$8,MATCH(H8,'Calibración del catálogo'!$A$6:$A$8,0))</f>
        <v>Intermedio o superior</v>
      </c>
      <c r="L8" s="42" t="n">
        <f aca="false">IFERROR(INDEX('Calibración del catálogo'!$L$16:$L$21,MATCH(A8,'Calibración del catálogo'!$H$16:$H$21,0)),INDEX('Calibración del catálogo'!$M$16:$M$21,MATCH(A8,'Calibración del catálogo'!$J$16:$J$21,0)))</f>
        <v>0.69</v>
      </c>
      <c r="M8" s="42" t="n">
        <f aca="false">IFERROR(L8*INDEX(Demanda!$B$5:$B$10,MATCH(B8,Demanda!$A$5:$A$10,0)),"revisar")</f>
        <v>0.17733</v>
      </c>
      <c r="N8" s="11" t="s">
        <v>622</v>
      </c>
      <c r="O8" s="43" t="n">
        <f aca="false">IFERROR(P8*(1-'Calibración del catálogo'!$D$26),"revisar")</f>
        <v>55.3159851301115</v>
      </c>
      <c r="P8" s="43" t="n">
        <f aca="false">'Calibración del catálogo'!F26</f>
        <v>69.1449814126394</v>
      </c>
      <c r="Q8" s="43" t="n">
        <f aca="false">IFERROR(P8*(1+'Calibración del catálogo'!$D$26),"revisar")</f>
        <v>82.9739776951673</v>
      </c>
      <c r="R8" s="42"/>
      <c r="S8" s="42"/>
      <c r="T8" s="43" t="n">
        <f aca="false">P8</f>
        <v>69.1449814126394</v>
      </c>
      <c r="U8" s="44" t="n">
        <f aca="false">INDEX('Calibración del catálogo'!$H$6:$H$8,MATCH(H8,'Calibración del catálogo'!$A$6:$A$8,0))</f>
        <v>0.02493280673595</v>
      </c>
      <c r="V8" s="40" t="s">
        <v>623</v>
      </c>
      <c r="W8" s="40" t="s">
        <v>623</v>
      </c>
      <c r="X8" s="40" t="s">
        <v>623</v>
      </c>
      <c r="Y8" s="40" t="s">
        <v>623</v>
      </c>
      <c r="Z8" s="40"/>
      <c r="AA8" s="11" t="s">
        <v>642</v>
      </c>
    </row>
    <row r="9" customFormat="false" ht="23.85" hidden="false" customHeight="false" outlineLevel="0" collapsed="false">
      <c r="A9" s="11" t="s">
        <v>643</v>
      </c>
      <c r="B9" s="11" t="s">
        <v>495</v>
      </c>
      <c r="C9" s="11" t="s">
        <v>644</v>
      </c>
      <c r="D9" s="11" t="s">
        <v>645</v>
      </c>
      <c r="E9" s="11" t="s">
        <v>646</v>
      </c>
      <c r="F9" s="11" t="s">
        <v>647</v>
      </c>
      <c r="G9" s="12" t="s">
        <v>648</v>
      </c>
      <c r="H9" s="40" t="s">
        <v>621</v>
      </c>
      <c r="I9" s="41" t="n">
        <f aca="false">INDEX('Calibración del catálogo'!$B$6:$B$8,MATCH(H9,'Calibración del catálogo'!$A$6:$A$8,0))</f>
        <v>1</v>
      </c>
      <c r="J9" s="41" t="n">
        <f aca="false">INDEX('Calibración del catálogo'!$C$6:$C$8,MATCH(H9,'Calibración del catálogo'!$A$6:$A$8,0))</f>
        <v>2</v>
      </c>
      <c r="K9" s="11" t="str">
        <f aca="false">INDEX('Calibración del catálogo'!$E$6:$E$8,MATCH(H9,'Calibración del catálogo'!$A$6:$A$8,0))</f>
        <v>Júnior o superior</v>
      </c>
      <c r="L9" s="42" t="n">
        <f aca="false">IFERROR(INDEX('Calibración del catálogo'!$L$16:$L$21,MATCH(A9,'Calibración del catálogo'!$H$16:$H$21,0)),INDEX('Calibración del catálogo'!$M$16:$M$21,MATCH(A9,'Calibración del catálogo'!$J$16:$J$21,0)))</f>
        <v>0.361940298507463</v>
      </c>
      <c r="M9" s="42" t="n">
        <f aca="false">IFERROR(L9*INDEX(Demanda!$B$5:$B$10,MATCH(B9,Demanda!$A$5:$A$10,0)),"revisar")</f>
        <v>0.068044776119403</v>
      </c>
      <c r="N9" s="11" t="s">
        <v>649</v>
      </c>
      <c r="O9" s="43" t="n">
        <f aca="false">'Calibración del catálogo'!C30</f>
        <v>5</v>
      </c>
      <c r="P9" s="43"/>
      <c r="Q9" s="43" t="n">
        <f aca="false">'Calibración del catálogo'!G30</f>
        <v>12.1385932595927</v>
      </c>
      <c r="R9" s="42" t="n">
        <v>0</v>
      </c>
      <c r="S9" s="42" t="n">
        <f aca="false">'Calibración del catálogo'!F30</f>
        <v>0.361940298507463</v>
      </c>
      <c r="T9" s="43" t="n">
        <f aca="false">'Calibración del catálogo'!H30</f>
        <v>9.54845740625192</v>
      </c>
      <c r="U9" s="44" t="n">
        <f aca="false">INDEX('Calibración del catálogo'!$H$6:$H$8,MATCH(H9,'Calibración del catálogo'!$A$6:$A$8,0))</f>
        <v>0.012466403367975</v>
      </c>
      <c r="V9" s="40" t="s">
        <v>623</v>
      </c>
      <c r="W9" s="40" t="s">
        <v>623</v>
      </c>
      <c r="X9" s="40" t="s">
        <v>623</v>
      </c>
      <c r="Y9" s="40"/>
      <c r="Z9" s="40"/>
      <c r="AA9" s="11" t="s">
        <v>650</v>
      </c>
    </row>
    <row r="10" customFormat="false" ht="23.85" hidden="false" customHeight="false" outlineLevel="0" collapsed="false">
      <c r="A10" s="11" t="s">
        <v>651</v>
      </c>
      <c r="B10" s="11" t="s">
        <v>495</v>
      </c>
      <c r="C10" s="11" t="s">
        <v>652</v>
      </c>
      <c r="D10" s="11" t="s">
        <v>653</v>
      </c>
      <c r="E10" s="11" t="s">
        <v>646</v>
      </c>
      <c r="F10" s="11" t="s">
        <v>654</v>
      </c>
      <c r="G10" s="12" t="s">
        <v>648</v>
      </c>
      <c r="H10" s="40" t="s">
        <v>630</v>
      </c>
      <c r="I10" s="41" t="n">
        <f aca="false">INDEX('Calibración del catálogo'!$B$6:$B$8,MATCH(H10,'Calibración del catálogo'!$A$6:$A$8,0))</f>
        <v>3</v>
      </c>
      <c r="J10" s="41" t="n">
        <f aca="false">INDEX('Calibración del catálogo'!$C$6:$C$8,MATCH(H10,'Calibración del catálogo'!$A$6:$A$8,0))</f>
        <v>4</v>
      </c>
      <c r="K10" s="11" t="str">
        <f aca="false">INDEX('Calibración del catálogo'!$E$6:$E$8,MATCH(H10,'Calibración del catálogo'!$A$6:$A$8,0))</f>
        <v>Intermedio o superior</v>
      </c>
      <c r="L10" s="42" t="n">
        <f aca="false">IFERROR(INDEX('Calibración del catálogo'!$L$16:$L$21,MATCH(A10,'Calibración del catálogo'!$H$16:$H$21,0)),INDEX('Calibración del catálogo'!$M$16:$M$21,MATCH(A10,'Calibración del catálogo'!$J$16:$J$21,0)))</f>
        <v>0.638059701492537</v>
      </c>
      <c r="M10" s="42" t="n">
        <f aca="false">IFERROR(L10*INDEX(Demanda!$B$5:$B$10,MATCH(B10,Demanda!$A$5:$A$10,0)),"revisar")</f>
        <v>0.119955223880597</v>
      </c>
      <c r="N10" s="11" t="s">
        <v>655</v>
      </c>
      <c r="O10" s="43" t="n">
        <f aca="false">'Calibración del catálogo'!G30</f>
        <v>12.1385932595927</v>
      </c>
      <c r="P10" s="43"/>
      <c r="Q10" s="43" t="n">
        <f aca="false">'Calibración del catálogo'!E30</f>
        <v>30</v>
      </c>
      <c r="R10" s="42" t="n">
        <f aca="false">'Calibración del catálogo'!F30</f>
        <v>0.361940298507463</v>
      </c>
      <c r="S10" s="42" t="n">
        <v>1</v>
      </c>
      <c r="T10" s="43" t="n">
        <f aca="false">'Calibración del catálogo'!I30</f>
        <v>18.0923955063951</v>
      </c>
      <c r="U10" s="44" t="n">
        <f aca="false">INDEX('Calibración del catálogo'!$H$6:$H$8,MATCH(H10,'Calibración del catálogo'!$A$6:$A$8,0))</f>
        <v>0.02493280673595</v>
      </c>
      <c r="V10" s="40" t="s">
        <v>623</v>
      </c>
      <c r="W10" s="40"/>
      <c r="X10" s="40" t="s">
        <v>623</v>
      </c>
      <c r="Y10" s="40" t="s">
        <v>623</v>
      </c>
      <c r="Z10" s="40" t="s">
        <v>623</v>
      </c>
      <c r="AA10" s="11" t="s">
        <v>656</v>
      </c>
    </row>
    <row r="11" customFormat="false" ht="23.85" hidden="false" customHeight="false" outlineLevel="0" collapsed="false">
      <c r="A11" s="11" t="s">
        <v>657</v>
      </c>
      <c r="B11" s="11" t="s">
        <v>501</v>
      </c>
      <c r="C11" s="11" t="s">
        <v>658</v>
      </c>
      <c r="D11" s="11" t="s">
        <v>659</v>
      </c>
      <c r="E11" s="11" t="s">
        <v>660</v>
      </c>
      <c r="F11" s="11" t="s">
        <v>661</v>
      </c>
      <c r="G11" s="12" t="s">
        <v>648</v>
      </c>
      <c r="H11" s="40" t="s">
        <v>630</v>
      </c>
      <c r="I11" s="41" t="n">
        <f aca="false">INDEX('Calibración del catálogo'!$B$6:$B$8,MATCH(H11,'Calibración del catálogo'!$A$6:$A$8,0))</f>
        <v>3</v>
      </c>
      <c r="J11" s="41" t="n">
        <f aca="false">INDEX('Calibración del catálogo'!$C$6:$C$8,MATCH(H11,'Calibración del catálogo'!$A$6:$A$8,0))</f>
        <v>4</v>
      </c>
      <c r="K11" s="11" t="str">
        <f aca="false">INDEX('Calibración del catálogo'!$E$6:$E$8,MATCH(H11,'Calibración del catálogo'!$A$6:$A$8,0))</f>
        <v>Intermedio o superior</v>
      </c>
      <c r="L11" s="42" t="n">
        <f aca="false">IFERROR(INDEX('Calibración del catálogo'!$L$16:$L$21,MATCH(A11,'Calibración del catálogo'!$H$16:$H$21,0)),INDEX('Calibración del catálogo'!$M$16:$M$21,MATCH(A11,'Calibración del catálogo'!$J$16:$J$21,0)))</f>
        <v>0.640625</v>
      </c>
      <c r="M11" s="42" t="n">
        <f aca="false">IFERROR(L11*INDEX(Demanda!$B$5:$B$10,MATCH(B11,Demanda!$A$5:$A$10,0)),"revisar")</f>
        <v>0.045484375</v>
      </c>
      <c r="N11" s="11" t="s">
        <v>649</v>
      </c>
      <c r="O11" s="43" t="n">
        <f aca="false">'Calibración del catálogo'!C31</f>
        <v>2</v>
      </c>
      <c r="P11" s="43"/>
      <c r="Q11" s="43" t="n">
        <f aca="false">'Calibración del catálogo'!G31</f>
        <v>24.5402042282535</v>
      </c>
      <c r="R11" s="42" t="n">
        <v>0</v>
      </c>
      <c r="S11" s="42" t="n">
        <f aca="false">'Calibración del catálogo'!F31</f>
        <v>0.640625</v>
      </c>
      <c r="T11" s="43" t="n">
        <f aca="false">'Calibración del catálogo'!H31</f>
        <v>13.1313057357751</v>
      </c>
      <c r="U11" s="44" t="n">
        <f aca="false">INDEX('Calibración del catálogo'!$H$6:$H$8,MATCH(H11,'Calibración del catálogo'!$A$6:$A$8,0))</f>
        <v>0.02493280673595</v>
      </c>
      <c r="V11" s="40" t="s">
        <v>623</v>
      </c>
      <c r="W11" s="40" t="s">
        <v>623</v>
      </c>
      <c r="X11" s="40" t="s">
        <v>623</v>
      </c>
      <c r="Y11" s="40" t="s">
        <v>623</v>
      </c>
      <c r="Z11" s="40" t="s">
        <v>623</v>
      </c>
      <c r="AA11" s="11" t="s">
        <v>662</v>
      </c>
    </row>
    <row r="12" customFormat="false" ht="23.85" hidden="false" customHeight="false" outlineLevel="0" collapsed="false">
      <c r="A12" s="11" t="s">
        <v>663</v>
      </c>
      <c r="B12" s="11" t="s">
        <v>501</v>
      </c>
      <c r="C12" s="11" t="s">
        <v>664</v>
      </c>
      <c r="D12" s="11" t="s">
        <v>665</v>
      </c>
      <c r="E12" s="11" t="s">
        <v>666</v>
      </c>
      <c r="F12" s="11" t="s">
        <v>667</v>
      </c>
      <c r="G12" s="12" t="s">
        <v>648</v>
      </c>
      <c r="H12" s="40" t="s">
        <v>668</v>
      </c>
      <c r="I12" s="41" t="n">
        <f aca="false">INDEX('Calibración del catálogo'!$B$6:$B$8,MATCH(H12,'Calibración del catálogo'!$A$6:$A$8,0))</f>
        <v>5</v>
      </c>
      <c r="J12" s="41" t="n">
        <f aca="false">INDEX('Calibración del catálogo'!$C$6:$C$8,MATCH(H12,'Calibración del catálogo'!$A$6:$A$8,0))</f>
        <v>6</v>
      </c>
      <c r="K12" s="11" t="str">
        <f aca="false">INDEX('Calibración del catálogo'!$E$6:$E$8,MATCH(H12,'Calibración del catálogo'!$A$6:$A$8,0))</f>
        <v>Solo sénior</v>
      </c>
      <c r="L12" s="42" t="n">
        <f aca="false">IFERROR(INDEX('Calibración del catálogo'!$L$16:$L$21,MATCH(A12,'Calibración del catálogo'!$H$16:$H$21,0)),INDEX('Calibración del catálogo'!$M$16:$M$21,MATCH(A12,'Calibración del catálogo'!$J$16:$J$21,0)))</f>
        <v>0.359375</v>
      </c>
      <c r="M12" s="42" t="n">
        <f aca="false">IFERROR(L12*INDEX(Demanda!$B$5:$B$10,MATCH(B12,Demanda!$A$5:$A$10,0)),"revisar")</f>
        <v>0.025515625</v>
      </c>
      <c r="N12" s="11" t="s">
        <v>655</v>
      </c>
      <c r="O12" s="43" t="n">
        <f aca="false">'Calibración del catálogo'!G31</f>
        <v>24.5402042282535</v>
      </c>
      <c r="P12" s="43"/>
      <c r="Q12" s="43" t="n">
        <f aca="false">'Calibración del catálogo'!E31</f>
        <v>56</v>
      </c>
      <c r="R12" s="42" t="n">
        <f aca="false">'Calibración del catálogo'!F31</f>
        <v>0.640625</v>
      </c>
      <c r="S12" s="42" t="n">
        <v>1</v>
      </c>
      <c r="T12" s="43" t="n">
        <f aca="false">'Calibración del catálogo'!I31</f>
        <v>35.0268028188357</v>
      </c>
      <c r="U12" s="44" t="n">
        <f aca="false">INDEX('Calibración del catálogo'!$H$6:$H$8,MATCH(H12,'Calibración del catálogo'!$A$6:$A$8,0))</f>
        <v>0.0498656134719</v>
      </c>
      <c r="V12" s="40" t="s">
        <v>623</v>
      </c>
      <c r="W12" s="40"/>
      <c r="X12" s="40"/>
      <c r="Y12" s="40" t="s">
        <v>623</v>
      </c>
      <c r="Z12" s="40" t="s">
        <v>623</v>
      </c>
      <c r="AA12" s="11" t="s">
        <v>669</v>
      </c>
    </row>
    <row r="13" customFormat="false" ht="23.85" hidden="false" customHeight="false" outlineLevel="0" collapsed="false">
      <c r="A13" s="11" t="s">
        <v>670</v>
      </c>
      <c r="B13" s="11" t="s">
        <v>506</v>
      </c>
      <c r="C13" s="11" t="s">
        <v>671</v>
      </c>
      <c r="D13" s="11" t="s">
        <v>672</v>
      </c>
      <c r="E13" s="11" t="s">
        <v>673</v>
      </c>
      <c r="F13" s="11" t="s">
        <v>674</v>
      </c>
      <c r="G13" s="12" t="s">
        <v>648</v>
      </c>
      <c r="H13" s="40" t="s">
        <v>621</v>
      </c>
      <c r="I13" s="41" t="n">
        <f aca="false">INDEX('Calibración del catálogo'!$B$6:$B$8,MATCH(H13,'Calibración del catálogo'!$A$6:$A$8,0))</f>
        <v>1</v>
      </c>
      <c r="J13" s="41" t="n">
        <f aca="false">INDEX('Calibración del catálogo'!$C$6:$C$8,MATCH(H13,'Calibración del catálogo'!$A$6:$A$8,0))</f>
        <v>2</v>
      </c>
      <c r="K13" s="11" t="str">
        <f aca="false">INDEX('Calibración del catálogo'!$E$6:$E$8,MATCH(H13,'Calibración del catálogo'!$A$6:$A$8,0))</f>
        <v>Júnior o superior</v>
      </c>
      <c r="L13" s="42" t="n">
        <f aca="false">IFERROR(INDEX('Calibración del catálogo'!$L$16:$L$21,MATCH(A13,'Calibración del catálogo'!$H$16:$H$21,0)),INDEX('Calibración del catálogo'!$M$16:$M$21,MATCH(A13,'Calibración del catálogo'!$J$16:$J$21,0)))</f>
        <v>0.183333333333333</v>
      </c>
      <c r="M13" s="42" t="n">
        <f aca="false">IFERROR(L13*INDEX(Demanda!$B$5:$B$10,MATCH(B13,Demanda!$A$5:$A$10,0)),"revisar")</f>
        <v>0.00733333333333333</v>
      </c>
      <c r="N13" s="11" t="s">
        <v>649</v>
      </c>
      <c r="O13" s="43" t="n">
        <f aca="false">'Calibración del catálogo'!C32</f>
        <v>12</v>
      </c>
      <c r="P13" s="43"/>
      <c r="Q13" s="43" t="n">
        <f aca="false">'Calibración del catálogo'!G32</f>
        <v>42.8</v>
      </c>
      <c r="R13" s="42" t="n">
        <v>0</v>
      </c>
      <c r="S13" s="42" t="n">
        <f aca="false">'Calibración del catálogo'!F32</f>
        <v>0.183333333333333</v>
      </c>
      <c r="T13" s="43" t="n">
        <f aca="false">'Calibración del catálogo'!H32</f>
        <v>27.4</v>
      </c>
      <c r="U13" s="44" t="n">
        <f aca="false">INDEX('Calibración del catálogo'!$H$6:$H$8,MATCH(H13,'Calibración del catálogo'!$A$6:$A$8,0))</f>
        <v>0.012466403367975</v>
      </c>
      <c r="V13" s="40" t="s">
        <v>623</v>
      </c>
      <c r="W13" s="40" t="s">
        <v>623</v>
      </c>
      <c r="X13" s="40"/>
      <c r="Y13" s="40"/>
      <c r="Z13" s="40"/>
      <c r="AA13" s="11" t="s">
        <v>675</v>
      </c>
    </row>
    <row r="14" customFormat="false" ht="23.85" hidden="false" customHeight="false" outlineLevel="0" collapsed="false">
      <c r="A14" s="11" t="s">
        <v>676</v>
      </c>
      <c r="B14" s="11" t="s">
        <v>506</v>
      </c>
      <c r="C14" s="11" t="s">
        <v>677</v>
      </c>
      <c r="D14" s="11" t="s">
        <v>678</v>
      </c>
      <c r="E14" s="11" t="s">
        <v>673</v>
      </c>
      <c r="F14" s="11" t="s">
        <v>674</v>
      </c>
      <c r="G14" s="12" t="s">
        <v>648</v>
      </c>
      <c r="H14" s="40" t="s">
        <v>630</v>
      </c>
      <c r="I14" s="41" t="n">
        <f aca="false">INDEX('Calibración del catálogo'!$B$6:$B$8,MATCH(H14,'Calibración del catálogo'!$A$6:$A$8,0))</f>
        <v>3</v>
      </c>
      <c r="J14" s="41" t="n">
        <f aca="false">INDEX('Calibración del catálogo'!$C$6:$C$8,MATCH(H14,'Calibración del catálogo'!$A$6:$A$8,0))</f>
        <v>4</v>
      </c>
      <c r="K14" s="11" t="str">
        <f aca="false">INDEX('Calibración del catálogo'!$E$6:$E$8,MATCH(H14,'Calibración del catálogo'!$A$6:$A$8,0))</f>
        <v>Intermedio o superior</v>
      </c>
      <c r="L14" s="42" t="n">
        <f aca="false">IFERROR(INDEX('Calibración del catálogo'!$L$16:$L$21,MATCH(A14,'Calibración del catálogo'!$H$16:$H$21,0)),INDEX('Calibración del catálogo'!$M$16:$M$21,MATCH(A14,'Calibración del catálogo'!$J$16:$J$21,0)))</f>
        <v>0.816666666666667</v>
      </c>
      <c r="M14" s="42" t="n">
        <f aca="false">IFERROR(L14*INDEX(Demanda!$B$5:$B$10,MATCH(B14,Demanda!$A$5:$A$10,0)),"revisar")</f>
        <v>0.0326666666666667</v>
      </c>
      <c r="N14" s="11" t="s">
        <v>655</v>
      </c>
      <c r="O14" s="43" t="n">
        <f aca="false">'Calibración del catálogo'!G32</f>
        <v>42.8</v>
      </c>
      <c r="P14" s="43"/>
      <c r="Q14" s="43" t="n">
        <f aca="false">'Calibración del catálogo'!E32</f>
        <v>180</v>
      </c>
      <c r="R14" s="42" t="n">
        <f aca="false">'Calibración del catálogo'!F32</f>
        <v>0.183333333333333</v>
      </c>
      <c r="S14" s="42" t="n">
        <v>1</v>
      </c>
      <c r="T14" s="43" t="n">
        <f aca="false">'Calibración del catálogo'!I32</f>
        <v>111.4</v>
      </c>
      <c r="U14" s="44" t="n">
        <f aca="false">INDEX('Calibración del catálogo'!$H$6:$H$8,MATCH(H14,'Calibración del catálogo'!$A$6:$A$8,0))</f>
        <v>0.02493280673595</v>
      </c>
      <c r="V14" s="40" t="s">
        <v>623</v>
      </c>
      <c r="W14" s="40"/>
      <c r="X14" s="40" t="s">
        <v>623</v>
      </c>
      <c r="Y14" s="40" t="s">
        <v>623</v>
      </c>
      <c r="Z14" s="40" t="s">
        <v>623</v>
      </c>
      <c r="AA14" s="11" t="s">
        <v>679</v>
      </c>
    </row>
    <row r="15" customFormat="false" ht="23.85" hidden="false" customHeight="false" outlineLevel="0" collapsed="false">
      <c r="A15" s="11" t="s">
        <v>680</v>
      </c>
      <c r="B15" s="11" t="s">
        <v>510</v>
      </c>
      <c r="C15" s="11" t="s">
        <v>681</v>
      </c>
      <c r="D15" s="11" t="s">
        <v>682</v>
      </c>
      <c r="E15" s="11" t="s">
        <v>683</v>
      </c>
      <c r="F15" s="11" t="s">
        <v>684</v>
      </c>
      <c r="G15" s="12" t="s">
        <v>648</v>
      </c>
      <c r="H15" s="40" t="s">
        <v>630</v>
      </c>
      <c r="I15" s="41" t="n">
        <f aca="false">INDEX('Calibración del catálogo'!$B$6:$B$8,MATCH(H15,'Calibración del catálogo'!$A$6:$A$8,0))</f>
        <v>3</v>
      </c>
      <c r="J15" s="41" t="n">
        <f aca="false">INDEX('Calibración del catálogo'!$C$6:$C$8,MATCH(H15,'Calibración del catálogo'!$A$6:$A$8,0))</f>
        <v>4</v>
      </c>
      <c r="K15" s="11" t="str">
        <f aca="false">INDEX('Calibración del catálogo'!$E$6:$E$8,MATCH(H15,'Calibración del catálogo'!$A$6:$A$8,0))</f>
        <v>Intermedio o superior</v>
      </c>
      <c r="L15" s="42" t="n">
        <f aca="false">IFERROR(INDEX('Calibración del catálogo'!$L$16:$L$21,MATCH(A15,'Calibración del catálogo'!$H$16:$H$21,0)),INDEX('Calibración del catálogo'!$M$16:$M$21,MATCH(A15,'Calibración del catálogo'!$J$16:$J$21,0)))</f>
        <v>0.778571428571429</v>
      </c>
      <c r="M15" s="42" t="n">
        <f aca="false">IFERROR(L15*INDEX(Demanda!$B$5:$B$10,MATCH(B15,Demanda!$A$5:$A$10,0)),"revisar")</f>
        <v>0.0288071428571429</v>
      </c>
      <c r="N15" s="11" t="s">
        <v>649</v>
      </c>
      <c r="O15" s="43" t="n">
        <f aca="false">'Calibración del catálogo'!C33</f>
        <v>11</v>
      </c>
      <c r="P15" s="43"/>
      <c r="Q15" s="43" t="n">
        <f aca="false">'Calibración del catálogo'!G33</f>
        <v>116.008374787323</v>
      </c>
      <c r="R15" s="42" t="n">
        <v>0</v>
      </c>
      <c r="S15" s="42" t="n">
        <f aca="false">'Calibración del catálogo'!F33</f>
        <v>0.778571428571429</v>
      </c>
      <c r="T15" s="43" t="n">
        <f aca="false">'Calibración del catálogo'!H33</f>
        <v>61.0840390311498</v>
      </c>
      <c r="U15" s="44" t="n">
        <f aca="false">INDEX('Calibración del catálogo'!$H$6:$H$8,MATCH(H15,'Calibración del catálogo'!$A$6:$A$8,0))</f>
        <v>0.02493280673595</v>
      </c>
      <c r="V15" s="40" t="s">
        <v>623</v>
      </c>
      <c r="W15" s="40" t="s">
        <v>623</v>
      </c>
      <c r="X15" s="40"/>
      <c r="Y15" s="40" t="s">
        <v>623</v>
      </c>
      <c r="Z15" s="40"/>
      <c r="AA15" s="11" t="s">
        <v>685</v>
      </c>
    </row>
    <row r="16" customFormat="false" ht="23.85" hidden="false" customHeight="false" outlineLevel="0" collapsed="false">
      <c r="A16" s="11" t="s">
        <v>686</v>
      </c>
      <c r="B16" s="11" t="s">
        <v>510</v>
      </c>
      <c r="C16" s="11" t="s">
        <v>687</v>
      </c>
      <c r="D16" s="11" t="s">
        <v>688</v>
      </c>
      <c r="E16" s="11" t="s">
        <v>683</v>
      </c>
      <c r="F16" s="11" t="s">
        <v>684</v>
      </c>
      <c r="G16" s="12" t="s">
        <v>648</v>
      </c>
      <c r="H16" s="40" t="s">
        <v>668</v>
      </c>
      <c r="I16" s="41" t="n">
        <f aca="false">INDEX('Calibración del catálogo'!$B$6:$B$8,MATCH(H16,'Calibración del catálogo'!$A$6:$A$8,0))</f>
        <v>5</v>
      </c>
      <c r="J16" s="41" t="n">
        <f aca="false">INDEX('Calibración del catálogo'!$C$6:$C$8,MATCH(H16,'Calibración del catálogo'!$A$6:$A$8,0))</f>
        <v>6</v>
      </c>
      <c r="K16" s="11" t="str">
        <f aca="false">INDEX('Calibración del catálogo'!$E$6:$E$8,MATCH(H16,'Calibración del catálogo'!$A$6:$A$8,0))</f>
        <v>Solo sénior</v>
      </c>
      <c r="L16" s="42" t="n">
        <f aca="false">IFERROR(INDEX('Calibración del catálogo'!$L$16:$L$21,MATCH(A16,'Calibración del catálogo'!$H$16:$H$21,0)),INDEX('Calibración del catálogo'!$M$16:$M$21,MATCH(A16,'Calibración del catálogo'!$J$16:$J$21,0)))</f>
        <v>0.221428571428572</v>
      </c>
      <c r="M16" s="42" t="n">
        <f aca="false">IFERROR(L16*INDEX(Demanda!$B$5:$B$10,MATCH(B16,Demanda!$A$5:$A$10,0)),"revisar")</f>
        <v>0.00819285714285715</v>
      </c>
      <c r="N16" s="11" t="s">
        <v>655</v>
      </c>
      <c r="O16" s="43" t="n">
        <f aca="false">'Calibración del catálogo'!G33</f>
        <v>116.008374787323</v>
      </c>
      <c r="P16" s="43"/>
      <c r="Q16" s="43" t="n">
        <f aca="false">'Calibración del catálogo'!E33</f>
        <v>203</v>
      </c>
      <c r="R16" s="42" t="n">
        <f aca="false">'Calibración del catálogo'!F33</f>
        <v>0.778571428571429</v>
      </c>
      <c r="S16" s="42" t="n">
        <v>1</v>
      </c>
      <c r="T16" s="43" t="n">
        <f aca="false">'Calibración del catálogo'!I33</f>
        <v>145.005583191549</v>
      </c>
      <c r="U16" s="44" t="n">
        <f aca="false">INDEX('Calibración del catálogo'!$H$6:$H$8,MATCH(H16,'Calibración del catálogo'!$A$6:$A$8,0))</f>
        <v>0.0498656134719</v>
      </c>
      <c r="V16" s="40"/>
      <c r="W16" s="40"/>
      <c r="X16" s="40" t="s">
        <v>623</v>
      </c>
      <c r="Y16" s="40" t="s">
        <v>623</v>
      </c>
      <c r="Z16" s="40" t="s">
        <v>623</v>
      </c>
      <c r="AA16" s="11" t="s">
        <v>689</v>
      </c>
    </row>
  </sheetData>
  <autoFilter ref="A4:AA16"/>
  <dataValidations count="2">
    <dataValidation allowBlank="false" error="Use baja, media o alta." errorStyle="stop" errorTitle="Complejidad" operator="between" showDropDown="false" showErrorMessage="false" showInputMessage="false" sqref="H5:H16" type="list">
      <formula1>"baja,media,alta"</formula1>
      <formula2>0</formula2>
    </dataValidation>
    <dataValidation allowBlank="true" errorStyle="stop" operator="between" showDropDown="false" showErrorMessage="false" showInputMessage="false" sqref="V5:Z16" type="list">
      <formula1>"X"</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5"/>
    <col collapsed="false" customWidth="true" hidden="false" outlineLevel="0" max="3" min="3" style="0" width="13"/>
    <col collapsed="false" customWidth="true" hidden="false" outlineLevel="0" max="4" min="4" style="0" width="12"/>
    <col collapsed="false" customWidth="true" hidden="false" outlineLevel="0" max="5" min="5" style="0" width="14"/>
    <col collapsed="false" customWidth="true" hidden="false" outlineLevel="0" max="6" min="6" style="0" width="15"/>
    <col collapsed="false" customWidth="true" hidden="false" outlineLevel="0" max="7" min="7" style="0" width="14"/>
    <col collapsed="false" customWidth="true" hidden="false" outlineLevel="0" max="9" min="8" style="0" width="13"/>
    <col collapsed="false" customWidth="true" hidden="false" outlineLevel="0" max="10" min="10" style="0" width="12"/>
    <col collapsed="false" customWidth="true" hidden="false" outlineLevel="0" max="14" min="11" style="0" width="13"/>
    <col collapsed="false" customWidth="true" hidden="false" outlineLevel="0" max="15" min="15" style="0" width="12"/>
    <col collapsed="false" customWidth="true" hidden="false" outlineLevel="0" max="16" min="16" style="0" width="14"/>
    <col collapsed="false" customWidth="true" hidden="false" outlineLevel="0" max="17" min="17" style="0" width="12"/>
    <col collapsed="false" customWidth="true" hidden="false" outlineLevel="0" max="18" min="18" style="0" width="34"/>
  </cols>
  <sheetData>
    <row r="1" customFormat="false" ht="17.35" hidden="false" customHeight="false" outlineLevel="0" collapsed="false">
      <c r="A1" s="1" t="s">
        <v>690</v>
      </c>
    </row>
    <row r="2" customFormat="false" ht="15" hidden="false" customHeight="false" outlineLevel="0" collapsed="false">
      <c r="A2" s="2" t="s">
        <v>691</v>
      </c>
    </row>
    <row r="4" customFormat="false" ht="15" hidden="false" customHeight="false" outlineLevel="0" collapsed="false">
      <c r="A4" s="5" t="s">
        <v>692</v>
      </c>
    </row>
    <row r="5" customFormat="false" ht="23.85" hidden="false" customHeight="false" outlineLevel="0" collapsed="false">
      <c r="A5" s="10" t="s">
        <v>693</v>
      </c>
      <c r="B5" s="10" t="s">
        <v>596</v>
      </c>
      <c r="C5" s="10" t="s">
        <v>597</v>
      </c>
      <c r="D5" s="10" t="s">
        <v>694</v>
      </c>
      <c r="E5" s="10" t="s">
        <v>598</v>
      </c>
      <c r="F5" s="10" t="s">
        <v>695</v>
      </c>
      <c r="G5" s="10" t="s">
        <v>600</v>
      </c>
      <c r="H5" s="10" t="s">
        <v>608</v>
      </c>
    </row>
    <row r="6" customFormat="false" ht="15" hidden="false" customHeight="false" outlineLevel="0" collapsed="false">
      <c r="A6" s="11" t="s">
        <v>621</v>
      </c>
      <c r="B6" s="45" t="n">
        <v>1</v>
      </c>
      <c r="C6" s="45" t="n">
        <v>2</v>
      </c>
      <c r="D6" s="43" t="n">
        <f aca="false">(B6+C6)/2</f>
        <v>1.5</v>
      </c>
      <c r="E6" s="46" t="s">
        <v>696</v>
      </c>
      <c r="F6" s="47" t="n">
        <v>0.5</v>
      </c>
      <c r="G6" s="42" t="n">
        <f aca="false">SUMIFS(Catálogo!$M$5:$M$16,Catálogo!$H$5:$H$16,A6)</f>
        <v>0.463105006004461</v>
      </c>
      <c r="H6" s="44" t="n">
        <f aca="false">IFERROR($B$11*F6/$B$12,"")</f>
        <v>0.012466403367975</v>
      </c>
    </row>
    <row r="7" customFormat="false" ht="23.85" hidden="false" customHeight="false" outlineLevel="0" collapsed="false">
      <c r="A7" s="11" t="s">
        <v>630</v>
      </c>
      <c r="B7" s="45" t="n">
        <v>3</v>
      </c>
      <c r="C7" s="45" t="n">
        <v>4</v>
      </c>
      <c r="D7" s="43" t="n">
        <f aca="false">(B7+C7)/2</f>
        <v>3.5</v>
      </c>
      <c r="E7" s="46" t="s">
        <v>697</v>
      </c>
      <c r="F7" s="47" t="n">
        <v>1</v>
      </c>
      <c r="G7" s="42" t="n">
        <f aca="false">SUMIFS(Catálogo!$M$5:$M$16,Catálogo!$H$5:$H$16,A7)</f>
        <v>0.503186511852682</v>
      </c>
      <c r="H7" s="44" t="n">
        <f aca="false">IFERROR($B$11*F7/$B$12,"")</f>
        <v>0.02493280673595</v>
      </c>
    </row>
    <row r="8" customFormat="false" ht="15" hidden="false" customHeight="false" outlineLevel="0" collapsed="false">
      <c r="A8" s="11" t="s">
        <v>668</v>
      </c>
      <c r="B8" s="45" t="n">
        <v>5</v>
      </c>
      <c r="C8" s="45" t="n">
        <v>6</v>
      </c>
      <c r="D8" s="43" t="n">
        <f aca="false">(B8+C8)/2</f>
        <v>5.5</v>
      </c>
      <c r="E8" s="46" t="s">
        <v>698</v>
      </c>
      <c r="F8" s="47" t="n">
        <v>2</v>
      </c>
      <c r="G8" s="42" t="n">
        <f aca="false">SUMIFS(Catálogo!$M$5:$M$16,Catálogo!$H$5:$H$16,A8)</f>
        <v>0.0337084821428571</v>
      </c>
      <c r="H8" s="44" t="n">
        <f aca="false">IFERROR($B$11*F8/$B$12,"")</f>
        <v>0.0498656134719</v>
      </c>
    </row>
    <row r="9" customFormat="false" ht="23.85" hidden="false" customHeight="false" outlineLevel="0" collapsed="false">
      <c r="A9" s="48" t="s">
        <v>699</v>
      </c>
      <c r="G9" s="49" t="n">
        <f aca="false">SUM(G6:G8)</f>
        <v>1</v>
      </c>
      <c r="H9" s="50" t="n">
        <f aca="false">SUMPRODUCT(G6:G8,H6:H8)</f>
        <v>0.02</v>
      </c>
    </row>
    <row r="11" customFormat="false" ht="23.85" hidden="false" customHeight="false" outlineLevel="0" collapsed="false">
      <c r="A11" s="11" t="s">
        <v>700</v>
      </c>
      <c r="B11" s="42" t="n">
        <f aca="false">Supuestos!$D$5</f>
        <v>0.02</v>
      </c>
      <c r="C11" s="31" t="s">
        <v>701</v>
      </c>
    </row>
    <row r="12" customFormat="false" ht="23.85" hidden="false" customHeight="false" outlineLevel="0" collapsed="false">
      <c r="A12" s="11" t="s">
        <v>702</v>
      </c>
      <c r="B12" s="51" t="n">
        <f aca="false">SUMPRODUCT(F6:F8,G6:G8)</f>
        <v>0.802155979140627</v>
      </c>
      <c r="C12" s="31" t="s">
        <v>703</v>
      </c>
    </row>
    <row r="14" customFormat="false" ht="15" hidden="false" customHeight="false" outlineLevel="0" collapsed="false">
      <c r="A14" s="5" t="s">
        <v>704</v>
      </c>
    </row>
    <row r="15" customFormat="false" ht="35.05" hidden="false" customHeight="false" outlineLevel="0" collapsed="false">
      <c r="A15" s="10" t="s">
        <v>469</v>
      </c>
      <c r="B15" s="10" t="s">
        <v>705</v>
      </c>
      <c r="C15" s="10" t="s">
        <v>706</v>
      </c>
      <c r="D15" s="10" t="s">
        <v>707</v>
      </c>
      <c r="E15" s="10" t="s">
        <v>708</v>
      </c>
      <c r="F15" s="10" t="s">
        <v>709</v>
      </c>
      <c r="G15" s="10" t="s">
        <v>710</v>
      </c>
      <c r="H15" s="10" t="s">
        <v>711</v>
      </c>
      <c r="I15" s="10" t="s">
        <v>712</v>
      </c>
      <c r="J15" s="10" t="s">
        <v>713</v>
      </c>
      <c r="K15" s="10" t="s">
        <v>714</v>
      </c>
      <c r="L15" s="10" t="s">
        <v>715</v>
      </c>
      <c r="M15" s="10" t="s">
        <v>716</v>
      </c>
      <c r="N15" s="10" t="s">
        <v>717</v>
      </c>
      <c r="O15" s="10" t="s">
        <v>718</v>
      </c>
      <c r="P15" s="10" t="s">
        <v>719</v>
      </c>
      <c r="Q15" s="10" t="s">
        <v>718</v>
      </c>
      <c r="R15" s="10" t="s">
        <v>720</v>
      </c>
    </row>
    <row r="16" customFormat="false" ht="15" hidden="false" customHeight="false" outlineLevel="0" collapsed="false">
      <c r="A16" s="11" t="s">
        <v>480</v>
      </c>
      <c r="B16" s="52" t="n">
        <v>96</v>
      </c>
      <c r="C16" s="43" t="n">
        <f aca="false">Duraciones!D5</f>
        <v>5</v>
      </c>
      <c r="D16" s="43" t="n">
        <f aca="false">Duraciones!E5</f>
        <v>40</v>
      </c>
      <c r="E16" s="43" t="n">
        <f aca="false">Duraciones!F5</f>
        <v>100</v>
      </c>
      <c r="F16" s="53" t="n">
        <f aca="false">(C16+D16+E16)/3</f>
        <v>48.3333333333333</v>
      </c>
      <c r="G16" s="53" t="n">
        <f aca="false">B16/F16</f>
        <v>1.98620689655172</v>
      </c>
      <c r="H16" s="11" t="s">
        <v>615</v>
      </c>
      <c r="I16" s="43" t="n">
        <f aca="false">INDEX($D$6:$D$8,MATCH(INDEX(Catálogo!$H$5:$H$16,MATCH(H16,Catálogo!$A$5:$A$16,0)),$A$6:$A$8,0))</f>
        <v>1.5</v>
      </c>
      <c r="J16" s="11" t="s">
        <v>625</v>
      </c>
      <c r="K16" s="43" t="n">
        <f aca="false">INDEX($D$6:$D$8,MATCH(INDEX(Catálogo!$H$5:$H$16,MATCH(J16,Catálogo!$A$5:$A$16,0)),$A$6:$A$8,0))</f>
        <v>3.5</v>
      </c>
      <c r="L16" s="42" t="n">
        <f aca="false">IFERROR((K16-G16)/(K16-I16),"revisar")</f>
        <v>0.756896551724138</v>
      </c>
      <c r="M16" s="42" t="n">
        <f aca="false">IFERROR(1-L16,"revisar")</f>
        <v>0.243103448275862</v>
      </c>
      <c r="N16" s="43" t="n">
        <f aca="false">IFERROR((L16*I16+M16*K16)*F16,"")</f>
        <v>96</v>
      </c>
      <c r="O16" s="42" t="n">
        <f aca="false">IFERROR(N16/B16-1,"")</f>
        <v>0</v>
      </c>
      <c r="P16" s="43" t="n">
        <f aca="false">G16*(C16+4*D16+E16)/6</f>
        <v>87.7241379310345</v>
      </c>
      <c r="Q16" s="42" t="n">
        <f aca="false">P16/B16-1</f>
        <v>-0.0862068965517242</v>
      </c>
      <c r="R16" s="11" t="str">
        <f aca="false">IF(ISNUMBER(L16),IF(AND(L16&gt;=0,L16&lt;=1),"OK","Revisar: el promedio no queda entre los dos métodos"),"Revisar: los dos métodos tienen la misma complejidad")</f>
        <v>OK</v>
      </c>
    </row>
    <row r="17" customFormat="false" ht="15" hidden="false" customHeight="false" outlineLevel="0" collapsed="false">
      <c r="A17" s="11" t="s">
        <v>491</v>
      </c>
      <c r="B17" s="52" t="n">
        <v>48</v>
      </c>
      <c r="C17" s="43" t="n">
        <f aca="false">Duraciones!D9</f>
        <v>5</v>
      </c>
      <c r="D17" s="43" t="n">
        <f aca="false">Duraciones!E9</f>
        <v>10</v>
      </c>
      <c r="E17" s="43" t="n">
        <f aca="false">Duraciones!F9</f>
        <v>35</v>
      </c>
      <c r="F17" s="53" t="n">
        <f aca="false">(C17+D17+E17)/3</f>
        <v>16.6666666666667</v>
      </c>
      <c r="G17" s="53" t="n">
        <f aca="false">B17/F17</f>
        <v>2.88</v>
      </c>
      <c r="H17" s="11" t="s">
        <v>632</v>
      </c>
      <c r="I17" s="43" t="n">
        <f aca="false">INDEX($D$6:$D$8,MATCH(INDEX(Catálogo!$H$5:$H$16,MATCH(H17,Catálogo!$A$5:$A$16,0)),$A$6:$A$8,0))</f>
        <v>1.5</v>
      </c>
      <c r="J17" s="11" t="s">
        <v>637</v>
      </c>
      <c r="K17" s="43" t="n">
        <f aca="false">INDEX($D$6:$D$8,MATCH(INDEX(Catálogo!$H$5:$H$16,MATCH(J17,Catálogo!$A$5:$A$16,0)),$A$6:$A$8,0))</f>
        <v>3.5</v>
      </c>
      <c r="L17" s="42" t="n">
        <f aca="false">IFERROR((K17-G17)/(K17-I17),"revisar")</f>
        <v>0.31</v>
      </c>
      <c r="M17" s="42" t="n">
        <f aca="false">IFERROR(1-L17,"revisar")</f>
        <v>0.69</v>
      </c>
      <c r="N17" s="43" t="n">
        <f aca="false">IFERROR((L17*I17+M17*K17)*F17,"")</f>
        <v>48</v>
      </c>
      <c r="O17" s="42" t="n">
        <f aca="false">IFERROR(N17/B17-1,"")</f>
        <v>0</v>
      </c>
      <c r="P17" s="43" t="n">
        <f aca="false">G17*(C17+4*D17+E17)/6</f>
        <v>38.4</v>
      </c>
      <c r="Q17" s="42" t="n">
        <f aca="false">P17/B17-1</f>
        <v>-0.2</v>
      </c>
      <c r="R17" s="11" t="str">
        <f aca="false">IF(ISNUMBER(L17),IF(AND(L17&gt;=0,L17&lt;=1),"OK","Revisar: el promedio no queda entre los dos métodos"),"Revisar: los dos métodos tienen la misma complejidad")</f>
        <v>OK</v>
      </c>
    </row>
    <row r="18" customFormat="false" ht="15" hidden="false" customHeight="false" outlineLevel="0" collapsed="false">
      <c r="A18" s="11" t="s">
        <v>495</v>
      </c>
      <c r="B18" s="52" t="n">
        <v>31</v>
      </c>
      <c r="C18" s="43" t="n">
        <f aca="false">Duraciones!D13</f>
        <v>5</v>
      </c>
      <c r="D18" s="43" t="n">
        <f aca="false">Duraciones!E13</f>
        <v>7.5</v>
      </c>
      <c r="E18" s="43" t="n">
        <f aca="false">Duraciones!F13</f>
        <v>21</v>
      </c>
      <c r="F18" s="53" t="n">
        <f aca="false">(C18+D18+E18)/3</f>
        <v>11.1666666666667</v>
      </c>
      <c r="G18" s="53" t="n">
        <f aca="false">B18/F18</f>
        <v>2.77611940298507</v>
      </c>
      <c r="H18" s="11" t="s">
        <v>643</v>
      </c>
      <c r="I18" s="43" t="n">
        <f aca="false">INDEX($D$6:$D$8,MATCH(INDEX(Catálogo!$H$5:$H$16,MATCH(H18,Catálogo!$A$5:$A$16,0)),$A$6:$A$8,0))</f>
        <v>1.5</v>
      </c>
      <c r="J18" s="11" t="s">
        <v>651</v>
      </c>
      <c r="K18" s="43" t="n">
        <f aca="false">INDEX($D$6:$D$8,MATCH(INDEX(Catálogo!$H$5:$H$16,MATCH(J18,Catálogo!$A$5:$A$16,0)),$A$6:$A$8,0))</f>
        <v>3.5</v>
      </c>
      <c r="L18" s="42" t="n">
        <f aca="false">IFERROR((K18-G18)/(K18-I18),"revisar")</f>
        <v>0.361940298507463</v>
      </c>
      <c r="M18" s="42" t="n">
        <f aca="false">IFERROR(1-L18,"revisar")</f>
        <v>0.638059701492537</v>
      </c>
      <c r="N18" s="43" t="n">
        <f aca="false">IFERROR((L18*I18+M18*K18)*F18,"")</f>
        <v>31</v>
      </c>
      <c r="O18" s="42" t="n">
        <f aca="false">IFERROR(N18/B18-1,"")</f>
        <v>0</v>
      </c>
      <c r="P18" s="43" t="n">
        <f aca="false">G18*(C18+4*D18+E18)/6</f>
        <v>25.910447761194</v>
      </c>
      <c r="Q18" s="42" t="n">
        <f aca="false">P18/B18-1</f>
        <v>-0.164179104477612</v>
      </c>
      <c r="R18" s="11" t="str">
        <f aca="false">IF(ISNUMBER(L18),IF(AND(L18&gt;=0,L18&lt;=1),"OK","Revisar: el promedio no queda entre los dos métodos"),"Revisar: los dos métodos tienen la misma complejidad")</f>
        <v>OK</v>
      </c>
    </row>
    <row r="19" customFormat="false" ht="15" hidden="false" customHeight="false" outlineLevel="0" collapsed="false">
      <c r="A19" s="11" t="s">
        <v>501</v>
      </c>
      <c r="B19" s="52" t="n">
        <v>45</v>
      </c>
      <c r="C19" s="43" t="n">
        <f aca="false">Duraciones!D17</f>
        <v>1</v>
      </c>
      <c r="D19" s="43" t="n">
        <f aca="false">Duraciones!E17</f>
        <v>6</v>
      </c>
      <c r="E19" s="43" t="n">
        <f aca="false">Duraciones!F17</f>
        <v>25</v>
      </c>
      <c r="F19" s="53" t="n">
        <f aca="false">(C19+D19+E19)/3</f>
        <v>10.6666666666667</v>
      </c>
      <c r="G19" s="53" t="n">
        <f aca="false">B19/F19</f>
        <v>4.21875</v>
      </c>
      <c r="H19" s="11" t="s">
        <v>657</v>
      </c>
      <c r="I19" s="43" t="n">
        <f aca="false">INDEX($D$6:$D$8,MATCH(INDEX(Catálogo!$H$5:$H$16,MATCH(H19,Catálogo!$A$5:$A$16,0)),$A$6:$A$8,0))</f>
        <v>3.5</v>
      </c>
      <c r="J19" s="11" t="s">
        <v>663</v>
      </c>
      <c r="K19" s="43" t="n">
        <f aca="false">INDEX($D$6:$D$8,MATCH(INDEX(Catálogo!$H$5:$H$16,MATCH(J19,Catálogo!$A$5:$A$16,0)),$A$6:$A$8,0))</f>
        <v>5.5</v>
      </c>
      <c r="L19" s="42" t="n">
        <f aca="false">IFERROR((K19-G19)/(K19-I19),"revisar")</f>
        <v>0.640625</v>
      </c>
      <c r="M19" s="42" t="n">
        <f aca="false">IFERROR(1-L19,"revisar")</f>
        <v>0.359375</v>
      </c>
      <c r="N19" s="43" t="n">
        <f aca="false">IFERROR((L19*I19+M19*K19)*F19,"")</f>
        <v>45</v>
      </c>
      <c r="O19" s="42" t="n">
        <f aca="false">IFERROR(N19/B19-1,"")</f>
        <v>0</v>
      </c>
      <c r="P19" s="43" t="n">
        <f aca="false">G19*(C19+4*D19+E19)/6</f>
        <v>35.15625</v>
      </c>
      <c r="Q19" s="42" t="n">
        <f aca="false">P19/B19-1</f>
        <v>-0.21875</v>
      </c>
      <c r="R19" s="11" t="str">
        <f aca="false">IF(ISNUMBER(L19),IF(AND(L19&gt;=0,L19&lt;=1),"OK","Revisar: el promedio no queda entre los dos métodos"),"Revisar: los dos métodos tienen la misma complejidad")</f>
        <v>OK</v>
      </c>
    </row>
    <row r="20" customFormat="false" ht="15" hidden="false" customHeight="false" outlineLevel="0" collapsed="false">
      <c r="A20" s="11" t="s">
        <v>506</v>
      </c>
      <c r="B20" s="52" t="n">
        <v>47</v>
      </c>
      <c r="C20" s="43" t="n">
        <f aca="false">Duraciones!D21</f>
        <v>5</v>
      </c>
      <c r="D20" s="43" t="n">
        <f aca="false">Duraciones!E21</f>
        <v>10</v>
      </c>
      <c r="E20" s="43" t="n">
        <f aca="false">Duraciones!F21</f>
        <v>30</v>
      </c>
      <c r="F20" s="53" t="n">
        <f aca="false">(C20+D20+E20)/3</f>
        <v>15</v>
      </c>
      <c r="G20" s="53" t="n">
        <f aca="false">B20/F20</f>
        <v>3.13333333333333</v>
      </c>
      <c r="H20" s="11" t="s">
        <v>670</v>
      </c>
      <c r="I20" s="43" t="n">
        <f aca="false">INDEX($D$6:$D$8,MATCH(INDEX(Catálogo!$H$5:$H$16,MATCH(H20,Catálogo!$A$5:$A$16,0)),$A$6:$A$8,0))</f>
        <v>1.5</v>
      </c>
      <c r="J20" s="11" t="s">
        <v>676</v>
      </c>
      <c r="K20" s="43" t="n">
        <f aca="false">INDEX($D$6:$D$8,MATCH(INDEX(Catálogo!$H$5:$H$16,MATCH(J20,Catálogo!$A$5:$A$16,0)),$A$6:$A$8,0))</f>
        <v>3.5</v>
      </c>
      <c r="L20" s="42" t="n">
        <f aca="false">IFERROR((K20-G20)/(K20-I20),"revisar")</f>
        <v>0.183333333333333</v>
      </c>
      <c r="M20" s="42" t="n">
        <f aca="false">IFERROR(1-L20,"revisar")</f>
        <v>0.816666666666667</v>
      </c>
      <c r="N20" s="43" t="n">
        <f aca="false">IFERROR((L20*I20+M20*K20)*F20,"")</f>
        <v>47</v>
      </c>
      <c r="O20" s="42" t="n">
        <f aca="false">IFERROR(N20/B20-1,"")</f>
        <v>0</v>
      </c>
      <c r="P20" s="43" t="n">
        <f aca="false">G20*(C20+4*D20+E20)/6</f>
        <v>39.1666666666667</v>
      </c>
      <c r="Q20" s="42" t="n">
        <f aca="false">P20/B20-1</f>
        <v>-0.166666666666667</v>
      </c>
      <c r="R20" s="11" t="str">
        <f aca="false">IF(ISNUMBER(L20),IF(AND(L20&gt;=0,L20&lt;=1),"OK","Revisar: el promedio no queda entre los dos métodos"),"Revisar: los dos métodos tienen la misma complejidad")</f>
        <v>OK</v>
      </c>
    </row>
    <row r="21" customFormat="false" ht="15" hidden="false" customHeight="false" outlineLevel="0" collapsed="false">
      <c r="A21" s="11" t="s">
        <v>510</v>
      </c>
      <c r="B21" s="52" t="n">
        <v>46</v>
      </c>
      <c r="C21" s="43" t="n">
        <f aca="false">Duraciones!D25</f>
        <v>5</v>
      </c>
      <c r="D21" s="43" t="n">
        <f aca="false">Duraciones!E25</f>
        <v>10</v>
      </c>
      <c r="E21" s="43" t="n">
        <f aca="false">Duraciones!F25</f>
        <v>20</v>
      </c>
      <c r="F21" s="53" t="n">
        <f aca="false">(C21+D21+E21)/3</f>
        <v>11.6666666666667</v>
      </c>
      <c r="G21" s="53" t="n">
        <f aca="false">B21/F21</f>
        <v>3.94285714285714</v>
      </c>
      <c r="H21" s="11" t="s">
        <v>680</v>
      </c>
      <c r="I21" s="43" t="n">
        <f aca="false">INDEX($D$6:$D$8,MATCH(INDEX(Catálogo!$H$5:$H$16,MATCH(H21,Catálogo!$A$5:$A$16,0)),$A$6:$A$8,0))</f>
        <v>3.5</v>
      </c>
      <c r="J21" s="11" t="s">
        <v>686</v>
      </c>
      <c r="K21" s="43" t="n">
        <f aca="false">INDEX($D$6:$D$8,MATCH(INDEX(Catálogo!$H$5:$H$16,MATCH(J21,Catálogo!$A$5:$A$16,0)),$A$6:$A$8,0))</f>
        <v>5.5</v>
      </c>
      <c r="L21" s="42" t="n">
        <f aca="false">IFERROR((K21-G21)/(K21-I21),"revisar")</f>
        <v>0.778571428571429</v>
      </c>
      <c r="M21" s="42" t="n">
        <f aca="false">IFERROR(1-L21,"revisar")</f>
        <v>0.221428571428572</v>
      </c>
      <c r="N21" s="43" t="n">
        <f aca="false">IFERROR((L21*I21+M21*K21)*F21,"")</f>
        <v>46</v>
      </c>
      <c r="O21" s="42" t="n">
        <f aca="false">IFERROR(N21/B21-1,"")</f>
        <v>0</v>
      </c>
      <c r="P21" s="43" t="n">
        <f aca="false">G21*(C21+4*D21+E21)/6</f>
        <v>42.7142857142857</v>
      </c>
      <c r="Q21" s="42" t="n">
        <f aca="false">P21/B21-1</f>
        <v>-0.0714285714285714</v>
      </c>
      <c r="R21" s="11" t="str">
        <f aca="false">IF(ISNUMBER(L21),IF(AND(L21&gt;=0,L21&lt;=1),"OK","Revisar: el promedio no queda entre los dos métodos"),"Revisar: los dos métodos tienen la misma complejidad")</f>
        <v>OK</v>
      </c>
    </row>
    <row r="22" customFormat="false" ht="15" hidden="false" customHeight="false" outlineLevel="0" collapsed="false">
      <c r="A22" s="17" t="s">
        <v>721</v>
      </c>
    </row>
    <row r="23" customFormat="false" ht="15" hidden="false" customHeight="false" outlineLevel="0" collapsed="false">
      <c r="A23" s="5" t="s">
        <v>722</v>
      </c>
    </row>
    <row r="24" customFormat="false" ht="35.05" hidden="false" customHeight="false" outlineLevel="0" collapsed="false">
      <c r="A24" s="10" t="s">
        <v>469</v>
      </c>
      <c r="B24" s="10" t="s">
        <v>723</v>
      </c>
      <c r="C24" s="10" t="s">
        <v>724</v>
      </c>
      <c r="D24" s="10" t="s">
        <v>725</v>
      </c>
      <c r="E24" s="10" t="s">
        <v>726</v>
      </c>
      <c r="F24" s="10" t="s">
        <v>727</v>
      </c>
      <c r="G24" s="10" t="s">
        <v>728</v>
      </c>
      <c r="H24" s="10" t="s">
        <v>718</v>
      </c>
    </row>
    <row r="25" customFormat="false" ht="15" hidden="false" customHeight="false" outlineLevel="0" collapsed="false">
      <c r="A25" s="11" t="s">
        <v>480</v>
      </c>
      <c r="B25" s="52" t="n">
        <v>85</v>
      </c>
      <c r="C25" s="54" t="n">
        <v>2.5</v>
      </c>
      <c r="D25" s="55" t="n">
        <v>0.2</v>
      </c>
      <c r="E25" s="43" t="n">
        <f aca="false">IFERROR(B25/(L16+M16*C25),"revisar")</f>
        <v>62.2867972204675</v>
      </c>
      <c r="F25" s="43" t="n">
        <f aca="false">IFERROR(C25*E25,"revisar")</f>
        <v>155.716993051169</v>
      </c>
      <c r="G25" s="43" t="n">
        <f aca="false">IFERROR(L16*E25+M16*F25,"revisar")</f>
        <v>85</v>
      </c>
      <c r="H25" s="42" t="n">
        <f aca="false">IFERROR(G25/B25-1,"revisar")</f>
        <v>0</v>
      </c>
    </row>
    <row r="26" customFormat="false" ht="15" hidden="false" customHeight="false" outlineLevel="0" collapsed="false">
      <c r="A26" s="11" t="s">
        <v>491</v>
      </c>
      <c r="B26" s="52" t="n">
        <v>62</v>
      </c>
      <c r="C26" s="54" t="n">
        <v>1.5</v>
      </c>
      <c r="D26" s="56" t="n">
        <f aca="false">D25</f>
        <v>0.2</v>
      </c>
      <c r="E26" s="43" t="n">
        <f aca="false">IFERROR(B26/(L17+M17*C26),"revisar")</f>
        <v>46.0966542750929</v>
      </c>
      <c r="F26" s="43" t="n">
        <f aca="false">IFERROR(C26*E26,"revisar")</f>
        <v>69.1449814126394</v>
      </c>
      <c r="G26" s="43" t="n">
        <f aca="false">IFERROR(L17*E26+M17*F26,"revisar")</f>
        <v>62</v>
      </c>
      <c r="H26" s="42" t="n">
        <f aca="false">IFERROR(G26/B26-1,"revisar")</f>
        <v>0</v>
      </c>
    </row>
    <row r="28" customFormat="false" ht="15" hidden="false" customHeight="false" outlineLevel="0" collapsed="false">
      <c r="A28" s="5" t="s">
        <v>729</v>
      </c>
    </row>
    <row r="29" customFormat="false" ht="46.25" hidden="false" customHeight="false" outlineLevel="0" collapsed="false">
      <c r="A29" s="10" t="s">
        <v>469</v>
      </c>
      <c r="B29" s="10" t="s">
        <v>730</v>
      </c>
      <c r="C29" s="10" t="s">
        <v>731</v>
      </c>
      <c r="D29" s="10" t="s">
        <v>707</v>
      </c>
      <c r="E29" s="10" t="s">
        <v>708</v>
      </c>
      <c r="F29" s="10" t="s">
        <v>732</v>
      </c>
      <c r="G29" s="10" t="s">
        <v>733</v>
      </c>
      <c r="H29" s="10" t="s">
        <v>734</v>
      </c>
      <c r="I29" s="10" t="s">
        <v>735</v>
      </c>
      <c r="J29" s="10" t="s">
        <v>728</v>
      </c>
      <c r="K29" s="10" t="s">
        <v>736</v>
      </c>
      <c r="L29" s="10" t="s">
        <v>737</v>
      </c>
      <c r="M29" s="10" t="s">
        <v>738</v>
      </c>
      <c r="N29" s="10" t="s">
        <v>739</v>
      </c>
      <c r="O29" s="10" t="s">
        <v>740</v>
      </c>
    </row>
    <row r="30" customFormat="false" ht="15" hidden="false" customHeight="false" outlineLevel="0" collapsed="false">
      <c r="A30" s="11" t="s">
        <v>495</v>
      </c>
      <c r="B30" s="12" t="s">
        <v>741</v>
      </c>
      <c r="C30" s="43" t="n">
        <f aca="false">Duraciones!D15</f>
        <v>5</v>
      </c>
      <c r="D30" s="43" t="n">
        <f aca="false">Duraciones!E15</f>
        <v>10</v>
      </c>
      <c r="E30" s="43" t="n">
        <f aca="false">Duraciones!F15</f>
        <v>30</v>
      </c>
      <c r="F30" s="42" t="n">
        <f aca="false">L18</f>
        <v>0.361940298507463</v>
      </c>
      <c r="G30" s="43" t="n">
        <f aca="false">IFERROR(IF(B30="U",C30+F30*(E30-C30),IF(F30&lt;=(D30-C30)/(E30-C30),C30+SQRT(F30*(E30-C30)*(D30-C30)),E30-SQRT((1-F30)*(E30-C30)*(E30-D30)))),"revisar")</f>
        <v>12.1385932595927</v>
      </c>
      <c r="H30" s="43" t="n">
        <f aca="false">IFERROR(IF(B30="U",(C30+G30)/2,N30/F30),"revisar")</f>
        <v>9.54845740625192</v>
      </c>
      <c r="I30" s="43" t="n">
        <f aca="false">IFERROR(IF(B30="U",(G30+E30)/2,(O30-N30)/(1-F30)),"revisar")</f>
        <v>18.0923955063951</v>
      </c>
      <c r="J30" s="43" t="n">
        <f aca="false">IFERROR(F30*H30+(1-F30)*I30,"revisar")</f>
        <v>15</v>
      </c>
      <c r="K30" s="43" t="n">
        <f aca="false">IFERROR(IF(B30="U",(C30+E30)/2,(C30+D30+E30)/3),"revisar")</f>
        <v>15</v>
      </c>
      <c r="L30" s="42" t="n">
        <f aca="false">IFERROR(J30/K30-1,"revisar")</f>
        <v>0</v>
      </c>
      <c r="M30" s="53" t="n">
        <f aca="false">IFERROR(IF(B30="U","",2/((E30-C30)*(D30-C30))*(D30^3/3-C30*D30^2/2+C30^3/6)),"revisar")</f>
        <v>1.66666666666667</v>
      </c>
      <c r="N30" s="53" t="n">
        <f aca="false">IFERROR(IF(B30="U","",IF(G30&lt;=D30,2/((E30-C30)*(D30-C30))*(G30^3/3-C30*G30^2/2+C30^3/6),M30+2/((E30-C30)*(E30-D30))*(E30*G30^2/2-G30^3/3-E30*D30^2/2+D30^3/3))),"revisar")</f>
        <v>3.45597152390461</v>
      </c>
      <c r="O30" s="53" t="n">
        <f aca="false">IFERROR(IF(B30="U","",M30+2/((E30-C30)*(E30-D30))*(E30^3/2-E30^3/3-E30*D30^2/2+D30^3/3)),"revisar")</f>
        <v>15</v>
      </c>
    </row>
    <row r="31" customFormat="false" ht="15" hidden="false" customHeight="false" outlineLevel="0" collapsed="false">
      <c r="A31" s="11" t="s">
        <v>501</v>
      </c>
      <c r="B31" s="12" t="s">
        <v>741</v>
      </c>
      <c r="C31" s="43" t="n">
        <f aca="false">Duraciones!D19</f>
        <v>2</v>
      </c>
      <c r="D31" s="43" t="n">
        <f aca="false">Duraciones!E19</f>
        <v>5</v>
      </c>
      <c r="E31" s="43" t="n">
        <f aca="false">Duraciones!F19</f>
        <v>56</v>
      </c>
      <c r="F31" s="42" t="n">
        <f aca="false">L19</f>
        <v>0.640625</v>
      </c>
      <c r="G31" s="43" t="n">
        <f aca="false">IFERROR(IF(B31="U",C31+F31*(E31-C31),IF(F31&lt;=(D31-C31)/(E31-C31),C31+SQRT(F31*(E31-C31)*(D31-C31)),E31-SQRT((1-F31)*(E31-C31)*(E31-D31)))),"revisar")</f>
        <v>24.5402042282535</v>
      </c>
      <c r="H31" s="43" t="n">
        <f aca="false">IFERROR(IF(B31="U",(C31+G31)/2,N31/F31),"revisar")</f>
        <v>13.1313057357751</v>
      </c>
      <c r="I31" s="43" t="n">
        <f aca="false">IFERROR(IF(B31="U",(G31+E31)/2,(O31-N31)/(1-F31)),"revisar")</f>
        <v>35.0268028188357</v>
      </c>
      <c r="J31" s="43" t="n">
        <f aca="false">IFERROR(F31*H31+(1-F31)*I31,"revisar")</f>
        <v>21</v>
      </c>
      <c r="K31" s="43" t="n">
        <f aca="false">IFERROR(IF(B31="U",(C31+E31)/2,(C31+D31+E31)/3),"revisar")</f>
        <v>21</v>
      </c>
      <c r="L31" s="42" t="n">
        <f aca="false">IFERROR(J31/K31-1,"revisar")</f>
        <v>0</v>
      </c>
      <c r="M31" s="53" t="n">
        <f aca="false">IFERROR(IF(B31="U","",2/((E31-C31)*(D31-C31))*(D31^3/3-C31*D31^2/2+C31^3/6)),"revisar")</f>
        <v>0.222222222222222</v>
      </c>
      <c r="N31" s="53" t="n">
        <f aca="false">IFERROR(IF(B31="U","",IF(G31&lt;=D31,2/((E31-C31)*(D31-C31))*(G31^3/3-C31*G31^2/2+C31^3/6),M31+2/((E31-C31)*(E31-D31))*(E31*G31^2/2-G31^3/3-E31*D31^2/2+D31^3/3))),"revisar")</f>
        <v>8.41224273698094</v>
      </c>
      <c r="O31" s="53" t="n">
        <f aca="false">IFERROR(IF(B31="U","",M31+2/((E31-C31)*(E31-D31))*(E31^3/2-E31^3/3-E31*D31^2/2+D31^3/3)),"revisar")</f>
        <v>21</v>
      </c>
    </row>
    <row r="32" customFormat="false" ht="15" hidden="false" customHeight="false" outlineLevel="0" collapsed="false">
      <c r="A32" s="11" t="s">
        <v>506</v>
      </c>
      <c r="B32" s="12" t="s">
        <v>742</v>
      </c>
      <c r="C32" s="43" t="n">
        <f aca="false">Duraciones!D23</f>
        <v>12</v>
      </c>
      <c r="D32" s="43" t="n">
        <f aca="false">Duraciones!E23</f>
        <v>96</v>
      </c>
      <c r="E32" s="43" t="n">
        <f aca="false">Duraciones!F23</f>
        <v>180</v>
      </c>
      <c r="F32" s="42" t="n">
        <f aca="false">L20</f>
        <v>0.183333333333333</v>
      </c>
      <c r="G32" s="43" t="n">
        <f aca="false">IFERROR(IF(B32="U",C32+F32*(E32-C32),IF(F32&lt;=(D32-C32)/(E32-C32),C32+SQRT(F32*(E32-C32)*(D32-C32)),E32-SQRT((1-F32)*(E32-C32)*(E32-D32)))),"revisar")</f>
        <v>42.8</v>
      </c>
      <c r="H32" s="43" t="n">
        <f aca="false">IFERROR(IF(B32="U",(C32+G32)/2,N32/F32),"revisar")</f>
        <v>27.4</v>
      </c>
      <c r="I32" s="43" t="n">
        <f aca="false">IFERROR(IF(B32="U",(G32+E32)/2,(O32-N32)/(1-F32)),"revisar")</f>
        <v>111.4</v>
      </c>
      <c r="J32" s="43" t="n">
        <f aca="false">IFERROR(F32*H32+(1-F32)*I32,"revisar")</f>
        <v>96</v>
      </c>
      <c r="K32" s="43" t="n">
        <f aca="false">IFERROR(IF(B32="U",(C32+E32)/2,(C32+D32+E32)/3),"revisar")</f>
        <v>96</v>
      </c>
      <c r="L32" s="42" t="n">
        <f aca="false">IFERROR(J32/K32-1,"revisar")</f>
        <v>0</v>
      </c>
      <c r="M32" s="53" t="str">
        <f aca="false">IFERROR(IF(B32="U","",2/((E32-C32)*(D32-C32))*(D32^3/3-C32*D32^2/2+C32^3/6)),"revisar")</f>
        <v/>
      </c>
      <c r="N32" s="53" t="str">
        <f aca="false">IFERROR(IF(B32="U","",IF(G32&lt;=D32,2/((E32-C32)*(D32-C32))*(G32^3/3-C32*G32^2/2+C32^3/6),M32+2/((E32-C32)*(E32-D32))*(E32*G32^2/2-G32^3/3-E32*D32^2/2+D32^3/3))),"revisar")</f>
        <v/>
      </c>
      <c r="O32" s="53" t="str">
        <f aca="false">IFERROR(IF(B32="U","",M32+2/((E32-C32)*(E32-D32))*(E32^3/2-E32^3/3-E32*D32^2/2+D32^3/3)),"revisar")</f>
        <v/>
      </c>
    </row>
    <row r="33" customFormat="false" ht="15" hidden="false" customHeight="false" outlineLevel="0" collapsed="false">
      <c r="A33" s="11" t="s">
        <v>510</v>
      </c>
      <c r="B33" s="12" t="s">
        <v>741</v>
      </c>
      <c r="C33" s="43" t="n">
        <f aca="false">Duraciones!D27</f>
        <v>11</v>
      </c>
      <c r="D33" s="43" t="n">
        <f aca="false">Duraciones!E27</f>
        <v>25</v>
      </c>
      <c r="E33" s="43" t="n">
        <f aca="false">Duraciones!F27</f>
        <v>203</v>
      </c>
      <c r="F33" s="42" t="n">
        <f aca="false">L21</f>
        <v>0.778571428571429</v>
      </c>
      <c r="G33" s="43" t="n">
        <f aca="false">IFERROR(IF(B33="U",C33+F33*(E33-C33),IF(F33&lt;=(D33-C33)/(E33-C33),C33+SQRT(F33*(E33-C33)*(D33-C33)),E33-SQRT((1-F33)*(E33-C33)*(E33-D33)))),"revisar")</f>
        <v>116.008374787323</v>
      </c>
      <c r="H33" s="43" t="n">
        <f aca="false">IFERROR(IF(B33="U",(C33+G33)/2,N33/F33),"revisar")</f>
        <v>61.0840390311498</v>
      </c>
      <c r="I33" s="43" t="n">
        <f aca="false">IFERROR(IF(B33="U",(G33+E33)/2,(O33-N33)/(1-F33)),"revisar")</f>
        <v>145.005583191549</v>
      </c>
      <c r="J33" s="43" t="n">
        <f aca="false">IFERROR(F33*H33+(1-F33)*I33,"revisar")</f>
        <v>79.6666666666667</v>
      </c>
      <c r="K33" s="43" t="n">
        <f aca="false">IFERROR(IF(B33="U",(C33+E33)/2,(C33+D33+E33)/3),"revisar")</f>
        <v>79.6666666666667</v>
      </c>
      <c r="L33" s="42" t="n">
        <f aca="false">IFERROR(J33/K33-1,"revisar")</f>
        <v>0</v>
      </c>
      <c r="M33" s="53" t="n">
        <f aca="false">IFERROR(IF(B33="U","",2/((E33-C33)*(D33-C33))*(D33^3/3-C33*D33^2/2+C33^3/6)),"revisar")</f>
        <v>1.48263888888889</v>
      </c>
      <c r="N33" s="53" t="n">
        <f aca="false">IFERROR(IF(B33="U","",IF(G33&lt;=D33,2/((E33-C33)*(D33-C33))*(G33^3/3-C33*G33^2/2+C33^3/6),M33+2/((E33-C33)*(E33-D33))*(E33*G33^2/2-G33^3/3-E33*D33^2/2+D33^3/3))),"revisar")</f>
        <v>47.5582875313952</v>
      </c>
      <c r="O33" s="53" t="n">
        <f aca="false">IFERROR(IF(B33="U","",M33+2/((E33-C33)*(E33-D33))*(E33^3/2-E33^3/3-E33*D33^2/2+D33^3/3)),"revisar")</f>
        <v>79.6666666666667</v>
      </c>
    </row>
    <row r="35" customFormat="false" ht="15" hidden="false" customHeight="false" outlineLevel="0" collapsed="false">
      <c r="A35" s="17" t="s">
        <v>743</v>
      </c>
    </row>
    <row r="36" customFormat="false" ht="15" hidden="false" customHeight="false" outlineLevel="0" collapsed="false">
      <c r="A36" s="17" t="s">
        <v>744</v>
      </c>
    </row>
    <row r="37" customFormat="false" ht="15" hidden="false" customHeight="false" outlineLevel="0" collapsed="false">
      <c r="A37" s="17" t="s">
        <v>745</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44"/>
    <col collapsed="false" customWidth="true" hidden="false" outlineLevel="0" max="4" min="4" style="0" width="12"/>
    <col collapsed="false" customWidth="true" hidden="false" outlineLevel="0" max="5" min="5" style="0" width="11"/>
    <col collapsed="false" customWidth="true" hidden="false" outlineLevel="0" max="7" min="6" style="0" width="10"/>
    <col collapsed="false" customWidth="true" hidden="false" outlineLevel="0" max="8" min="8" style="0" width="20"/>
    <col collapsed="false" customWidth="true" hidden="false" outlineLevel="0" max="9" min="9" style="0" width="8"/>
    <col collapsed="false" customWidth="true" hidden="false" outlineLevel="0" max="11" min="10" style="0" width="11"/>
    <col collapsed="false" customWidth="true" hidden="false" outlineLevel="0" max="12" min="12" style="0" width="9"/>
    <col collapsed="false" customWidth="true" hidden="false" outlineLevel="0" max="14" min="13" style="0" width="10"/>
    <col collapsed="false" customWidth="true" hidden="false" outlineLevel="0" max="15" min="15" style="0" width="11"/>
    <col collapsed="false" customWidth="true" hidden="false" outlineLevel="0" max="27" min="16" style="0" width="7"/>
    <col collapsed="false" customWidth="true" hidden="false" outlineLevel="0" max="28" min="28" style="0" width="52"/>
  </cols>
  <sheetData>
    <row r="1" customFormat="false" ht="17.35" hidden="false" customHeight="false" outlineLevel="0" collapsed="false">
      <c r="A1" s="1" t="s">
        <v>746</v>
      </c>
    </row>
    <row r="2" customFormat="false" ht="15" hidden="false" customHeight="false" outlineLevel="0" collapsed="false">
      <c r="A2" s="2" t="s">
        <v>747</v>
      </c>
    </row>
    <row r="3" customFormat="false" ht="15" hidden="false" customHeight="false" outlineLevel="0" collapsed="false">
      <c r="A3" s="17" t="s">
        <v>748</v>
      </c>
    </row>
    <row r="4" customFormat="false" ht="46.25" hidden="false" customHeight="false" outlineLevel="0" collapsed="false">
      <c r="A4" s="10" t="s">
        <v>749</v>
      </c>
      <c r="B4" s="10" t="s">
        <v>750</v>
      </c>
      <c r="C4" s="10" t="s">
        <v>751</v>
      </c>
      <c r="D4" s="10" t="s">
        <v>752</v>
      </c>
      <c r="E4" s="10" t="s">
        <v>753</v>
      </c>
      <c r="F4" s="10" t="s">
        <v>754</v>
      </c>
      <c r="G4" s="10" t="s">
        <v>755</v>
      </c>
      <c r="H4" s="10" t="s">
        <v>756</v>
      </c>
      <c r="I4" s="10" t="s">
        <v>757</v>
      </c>
      <c r="J4" s="10" t="s">
        <v>758</v>
      </c>
      <c r="K4" s="10" t="s">
        <v>759</v>
      </c>
      <c r="L4" s="10" t="s">
        <v>760</v>
      </c>
      <c r="M4" s="10" t="s">
        <v>761</v>
      </c>
      <c r="N4" s="10" t="s">
        <v>762</v>
      </c>
      <c r="O4" s="10" t="s">
        <v>763</v>
      </c>
      <c r="P4" s="10" t="s">
        <v>615</v>
      </c>
      <c r="Q4" s="10" t="s">
        <v>625</v>
      </c>
      <c r="R4" s="10" t="s">
        <v>632</v>
      </c>
      <c r="S4" s="10" t="s">
        <v>637</v>
      </c>
      <c r="T4" s="10" t="s">
        <v>643</v>
      </c>
      <c r="U4" s="10" t="s">
        <v>651</v>
      </c>
      <c r="V4" s="10" t="s">
        <v>657</v>
      </c>
      <c r="W4" s="10" t="s">
        <v>663</v>
      </c>
      <c r="X4" s="10" t="s">
        <v>670</v>
      </c>
      <c r="Y4" s="10" t="s">
        <v>676</v>
      </c>
      <c r="Z4" s="10" t="s">
        <v>680</v>
      </c>
      <c r="AA4" s="10" t="s">
        <v>686</v>
      </c>
      <c r="AB4" s="10" t="s">
        <v>764</v>
      </c>
    </row>
    <row r="5" customFormat="false" ht="38.8" hidden="false" customHeight="false" outlineLevel="0" collapsed="false">
      <c r="A5" s="11" t="s">
        <v>609</v>
      </c>
      <c r="B5" s="11" t="s">
        <v>765</v>
      </c>
      <c r="C5" s="11" t="s">
        <v>766</v>
      </c>
      <c r="D5" s="57" t="n">
        <v>0.25</v>
      </c>
      <c r="E5" s="46" t="n">
        <v>5</v>
      </c>
      <c r="F5" s="46" t="n">
        <v>8</v>
      </c>
      <c r="G5" s="46" t="n">
        <v>17</v>
      </c>
      <c r="H5" s="46" t="s">
        <v>767</v>
      </c>
      <c r="I5" s="46" t="n">
        <v>5</v>
      </c>
      <c r="J5" s="46" t="s">
        <v>768</v>
      </c>
      <c r="K5" s="43" t="n">
        <f aca="false">IF(J5="h",I5,I5*24)</f>
        <v>120</v>
      </c>
      <c r="L5" s="11" t="n">
        <f aca="false">RANK(K5,$K$5:$K$9,1)</f>
        <v>4</v>
      </c>
      <c r="M5" s="46" t="s">
        <v>620</v>
      </c>
      <c r="N5" s="58" t="n">
        <f aca="false">D5*Demanda!$C$11/Demanda!$C$22</f>
        <v>3192.29166666667</v>
      </c>
      <c r="O5" s="43" t="n">
        <f aca="false">N5/IF(E5=7,Demanda!$B$14,Demanda!$B$15)</f>
        <v>12.2780448717949</v>
      </c>
      <c r="P5" s="42" t="n">
        <f aca="false">'Calibración de tipos'!C58</f>
        <v>0.173951936627625</v>
      </c>
      <c r="Q5" s="42" t="n">
        <f aca="false">'Calibración de tipos'!D58</f>
        <v>0.0951166647475268</v>
      </c>
      <c r="R5" s="42" t="n">
        <f aca="false">'Calibración de tipos'!E58</f>
        <v>0.318679999999997</v>
      </c>
      <c r="S5" s="42" t="n">
        <f aca="false">'Calibración de tipos'!F58</f>
        <v>0.121548414809087</v>
      </c>
      <c r="T5" s="42" t="n">
        <f aca="false">'Calibración de tipos'!G58</f>
        <v>0.059759521380327</v>
      </c>
      <c r="U5" s="42" t="n">
        <f aca="false">'Calibración de tipos'!H58</f>
        <v>0.115316180885006</v>
      </c>
      <c r="V5" s="42" t="n">
        <f aca="false">'Calibración de tipos'!I58</f>
        <v>0.025683875953151</v>
      </c>
      <c r="W5" s="42" t="n">
        <f aca="false">'Calibración de tipos'!J58</f>
        <v>0.0289198416208482</v>
      </c>
      <c r="X5" s="42" t="n">
        <f aca="false">'Calibración de tipos'!K58</f>
        <v>0.00747763514435901</v>
      </c>
      <c r="Y5" s="42" t="n">
        <f aca="false">'Calibración de tipos'!L58</f>
        <v>0.0314033446846233</v>
      </c>
      <c r="Z5" s="42" t="n">
        <f aca="false">'Calibración de tipos'!M58</f>
        <v>0.0221425841474497</v>
      </c>
      <c r="AA5" s="42" t="n">
        <f aca="false">'Calibración de tipos'!N58</f>
        <v>0</v>
      </c>
      <c r="AB5" s="11" t="s">
        <v>1693</v>
      </c>
    </row>
    <row r="6" customFormat="false" ht="46.25" hidden="false" customHeight="false" outlineLevel="0" collapsed="false">
      <c r="A6" s="11" t="s">
        <v>610</v>
      </c>
      <c r="B6" s="11" t="s">
        <v>770</v>
      </c>
      <c r="C6" s="11" t="s">
        <v>771</v>
      </c>
      <c r="D6" s="57" t="n">
        <v>0.3</v>
      </c>
      <c r="E6" s="12" t="n">
        <v>7</v>
      </c>
      <c r="F6" s="12" t="n">
        <v>0</v>
      </c>
      <c r="G6" s="12" t="n">
        <v>24</v>
      </c>
      <c r="H6" s="46" t="s">
        <v>767</v>
      </c>
      <c r="I6" s="46" t="n">
        <v>4</v>
      </c>
      <c r="J6" s="46" t="s">
        <v>142</v>
      </c>
      <c r="K6" s="43" t="n">
        <f aca="false">IF(J6="h",I6,I6*24)</f>
        <v>4</v>
      </c>
      <c r="L6" s="11" t="n">
        <f aca="false">RANK(K6,$K$5:$K$9,1)</f>
        <v>1</v>
      </c>
      <c r="M6" s="46" t="s">
        <v>648</v>
      </c>
      <c r="N6" s="58" t="n">
        <f aca="false">D6*Demanda!$C$11/Demanda!$C$22</f>
        <v>3830.75</v>
      </c>
      <c r="O6" s="43" t="n">
        <f aca="false">N6/IF(E6=7,Demanda!$B$14,Demanda!$B$15)</f>
        <v>10.4952054794521</v>
      </c>
      <c r="P6" s="42" t="n">
        <f aca="false">'Calibración de tipos'!C59</f>
        <v>0.423690216773619</v>
      </c>
      <c r="Q6" s="42" t="n">
        <f aca="false">'Calibración de tipos'!D59</f>
        <v>0</v>
      </c>
      <c r="R6" s="42" t="n">
        <f aca="false">'Calibración de tipos'!E59</f>
        <v>0</v>
      </c>
      <c r="S6" s="42" t="n">
        <f aca="false">'Calibración de tipos'!F59</f>
        <v>0.296052318918381</v>
      </c>
      <c r="T6" s="42" t="n">
        <f aca="false">'Calibración de tipos'!G59</f>
        <v>0.145554715048211</v>
      </c>
      <c r="U6" s="42" t="n">
        <f aca="false">'Calibración de tipos'!H59</f>
        <v>0</v>
      </c>
      <c r="V6" s="42" t="n">
        <f aca="false">'Calibración de tipos'!I59</f>
        <v>0.062557549982741</v>
      </c>
      <c r="W6" s="42" t="n">
        <f aca="false">'Calibración de tipos'!J59</f>
        <v>0</v>
      </c>
      <c r="X6" s="42" t="n">
        <f aca="false">'Calibración de tipos'!K59</f>
        <v>0.0182130818241454</v>
      </c>
      <c r="Y6" s="42" t="n">
        <f aca="false">'Calibración de tipos'!L59</f>
        <v>0</v>
      </c>
      <c r="Z6" s="42" t="n">
        <f aca="false">'Calibración de tipos'!M59</f>
        <v>0.0539321174529032</v>
      </c>
      <c r="AA6" s="42" t="n">
        <f aca="false">'Calibración de tipos'!N59</f>
        <v>0</v>
      </c>
      <c r="AB6" s="11" t="s">
        <v>772</v>
      </c>
    </row>
    <row r="7" customFormat="false" ht="23.85" hidden="false" customHeight="false" outlineLevel="0" collapsed="false">
      <c r="A7" s="11" t="s">
        <v>611</v>
      </c>
      <c r="B7" s="11" t="s">
        <v>773</v>
      </c>
      <c r="C7" s="11" t="s">
        <v>774</v>
      </c>
      <c r="D7" s="57" t="n">
        <v>0.1</v>
      </c>
      <c r="E7" s="46" t="n">
        <v>5</v>
      </c>
      <c r="F7" s="46" t="n">
        <v>8</v>
      </c>
      <c r="G7" s="46" t="n">
        <v>17</v>
      </c>
      <c r="H7" s="46" t="s">
        <v>767</v>
      </c>
      <c r="I7" s="46" t="n">
        <v>1</v>
      </c>
      <c r="J7" s="46" t="s">
        <v>768</v>
      </c>
      <c r="K7" s="43" t="n">
        <f aca="false">IF(J7="h",I7,I7*24)</f>
        <v>24</v>
      </c>
      <c r="L7" s="11" t="n">
        <f aca="false">RANK(K7,$K$5:$K$9,1)</f>
        <v>2</v>
      </c>
      <c r="M7" s="46" t="s">
        <v>620</v>
      </c>
      <c r="N7" s="58" t="n">
        <f aca="false">D7*Demanda!$C$11/Demanda!$C$22</f>
        <v>1276.91666666667</v>
      </c>
      <c r="O7" s="43" t="n">
        <f aca="false">N7/IF(E7=7,Demanda!$B$14,Demanda!$B$15)</f>
        <v>4.91121794871795</v>
      </c>
      <c r="P7" s="42" t="n">
        <f aca="false">'Calibración de tipos'!C60</f>
        <v>0.274741506634021</v>
      </c>
      <c r="Q7" s="42" t="n">
        <f aca="false">'Calibración de tipos'!D60</f>
        <v>0.150228254340622</v>
      </c>
      <c r="R7" s="42" t="n">
        <f aca="false">'Calibración de tipos'!E60</f>
        <v>0</v>
      </c>
      <c r="S7" s="42" t="n">
        <f aca="false">'Calibración de tipos'!F60</f>
        <v>0.191974836618876</v>
      </c>
      <c r="T7" s="42" t="n">
        <f aca="false">'Calibración de tipos'!G60</f>
        <v>0.0943848125985832</v>
      </c>
      <c r="U7" s="42" t="n">
        <f aca="false">'Calibración de tipos'!H60</f>
        <v>0.182131581227803</v>
      </c>
      <c r="V7" s="42" t="n">
        <f aca="false">'Calibración de tipos'!I60</f>
        <v>0.0405653820956045</v>
      </c>
      <c r="W7" s="42" t="n">
        <f aca="false">'Calibración de tipos'!J60</f>
        <v>0</v>
      </c>
      <c r="X7" s="42" t="n">
        <f aca="false">'Calibración de tipos'!K60</f>
        <v>0</v>
      </c>
      <c r="Y7" s="42" t="n">
        <f aca="false">'Calibración de tipos'!L60</f>
        <v>0.049598770782703</v>
      </c>
      <c r="Z7" s="42" t="n">
        <f aca="false">'Calibración de tipos'!M60</f>
        <v>0</v>
      </c>
      <c r="AA7" s="42" t="n">
        <f aca="false">'Calibración de tipos'!N60</f>
        <v>0.0163748557017874</v>
      </c>
      <c r="AB7" s="11" t="s">
        <v>775</v>
      </c>
    </row>
    <row r="8" customFormat="false" ht="38.8" hidden="false" customHeight="false" outlineLevel="0" collapsed="false">
      <c r="A8" s="11" t="s">
        <v>612</v>
      </c>
      <c r="B8" s="11" t="s">
        <v>776</v>
      </c>
      <c r="C8" s="11" t="s">
        <v>777</v>
      </c>
      <c r="D8" s="57" t="n">
        <v>0.2</v>
      </c>
      <c r="E8" s="46" t="n">
        <v>5</v>
      </c>
      <c r="F8" s="46" t="n">
        <v>8</v>
      </c>
      <c r="G8" s="46" t="n">
        <v>17</v>
      </c>
      <c r="H8" s="46" t="s">
        <v>767</v>
      </c>
      <c r="I8" s="46" t="n">
        <v>2</v>
      </c>
      <c r="J8" s="46" t="s">
        <v>768</v>
      </c>
      <c r="K8" s="43" t="n">
        <f aca="false">IF(J8="h",I8,I8*24)</f>
        <v>48</v>
      </c>
      <c r="L8" s="11" t="n">
        <f aca="false">RANK(K8,$K$5:$K$9,1)</f>
        <v>3</v>
      </c>
      <c r="M8" s="46" t="s">
        <v>620</v>
      </c>
      <c r="N8" s="58" t="n">
        <f aca="false">D8*Demanda!$C$11/Demanda!$C$22</f>
        <v>2553.83333333333</v>
      </c>
      <c r="O8" s="43" t="n">
        <f aca="false">N8/IF(E8=7,Demanda!$B$14,Demanda!$B$15)</f>
        <v>9.8224358974359</v>
      </c>
      <c r="P8" s="42" t="n">
        <f aca="false">'Calibración de tipos'!C61</f>
        <v>0.278567995652212</v>
      </c>
      <c r="Q8" s="42" t="n">
        <f aca="false">'Calibración de tipos'!D61</f>
        <v>0.152320572944022</v>
      </c>
      <c r="R8" s="42" t="n">
        <f aca="false">'Calibración de tipos'!E61</f>
        <v>0</v>
      </c>
      <c r="S8" s="42" t="n">
        <f aca="false">'Calibración de tipos'!F61</f>
        <v>0.194648584801635</v>
      </c>
      <c r="T8" s="42" t="n">
        <f aca="false">'Calibración de tipos'!G61</f>
        <v>0</v>
      </c>
      <c r="U8" s="42" t="n">
        <f aca="false">'Calibración de tipos'!H61</f>
        <v>0.184668236515067</v>
      </c>
      <c r="V8" s="42" t="n">
        <f aca="false">'Calibración de tipos'!I61</f>
        <v>0.0411303603946947</v>
      </c>
      <c r="W8" s="42" t="n">
        <f aca="false">'Calibración de tipos'!J61</f>
        <v>0.0463124611952135</v>
      </c>
      <c r="X8" s="42" t="n">
        <f aca="false">'Calibración de tipos'!K61</f>
        <v>0</v>
      </c>
      <c r="Y8" s="42" t="n">
        <f aca="false">'Calibración de tipos'!L61</f>
        <v>0.0502895624801098</v>
      </c>
      <c r="Z8" s="42" t="n">
        <f aca="false">'Calibración de tipos'!M61</f>
        <v>0.0354593079220479</v>
      </c>
      <c r="AA8" s="42" t="n">
        <f aca="false">'Calibración de tipos'!N61</f>
        <v>0.0166029180949984</v>
      </c>
      <c r="AB8" s="11" t="s">
        <v>1694</v>
      </c>
    </row>
    <row r="9" customFormat="false" ht="35.05" hidden="false" customHeight="false" outlineLevel="0" collapsed="false">
      <c r="A9" s="11" t="s">
        <v>613</v>
      </c>
      <c r="B9" s="11" t="s">
        <v>779</v>
      </c>
      <c r="C9" s="11" t="s">
        <v>780</v>
      </c>
      <c r="D9" s="57" t="n">
        <v>0.15</v>
      </c>
      <c r="E9" s="12" t="n">
        <v>5</v>
      </c>
      <c r="F9" s="46" t="n">
        <v>8</v>
      </c>
      <c r="G9" s="46" t="n">
        <v>8</v>
      </c>
      <c r="H9" s="46" t="s">
        <v>781</v>
      </c>
      <c r="I9" s="46" t="n">
        <v>10</v>
      </c>
      <c r="J9" s="46" t="s">
        <v>768</v>
      </c>
      <c r="K9" s="43" t="n">
        <f aca="false">IF(J9="h",I9,I9*24)</f>
        <v>240</v>
      </c>
      <c r="L9" s="11" t="n">
        <f aca="false">RANK(K9,$K$5:$K$9,1)</f>
        <v>5</v>
      </c>
      <c r="M9" s="46" t="s">
        <v>648</v>
      </c>
      <c r="N9" s="58" t="n">
        <f aca="false">D9*Demanda!$C$11/Demanda!$C$22</f>
        <v>1915.375</v>
      </c>
      <c r="O9" s="43" t="n">
        <f aca="false">N9/IF(E9=7,Demanda!$B$14,Demanda!$B$15)</f>
        <v>7.36682692307692</v>
      </c>
      <c r="P9" s="42" t="n">
        <f aca="false">'Calibración de tipos'!C62</f>
        <v>0.361827317125922</v>
      </c>
      <c r="Q9" s="42" t="n">
        <f aca="false">'Calibración de tipos'!D62</f>
        <v>0.197846648256849</v>
      </c>
      <c r="R9" s="42" t="n">
        <f aca="false">'Calibración de tipos'!E62</f>
        <v>0</v>
      </c>
      <c r="S9" s="42" t="n">
        <f aca="false">'Calibración de tipos'!F62</f>
        <v>0</v>
      </c>
      <c r="T9" s="42" t="n">
        <f aca="false">'Calibración de tipos'!G62</f>
        <v>0</v>
      </c>
      <c r="U9" s="42" t="n">
        <f aca="false">'Calibración de tipos'!H62</f>
        <v>0.239862488223676</v>
      </c>
      <c r="V9" s="42" t="n">
        <f aca="false">'Calibración de tipos'!I62</f>
        <v>0.0534235381892711</v>
      </c>
      <c r="W9" s="42" t="n">
        <f aca="false">'Calibración de tipos'!J62</f>
        <v>0.0601544823716341</v>
      </c>
      <c r="X9" s="42" t="n">
        <f aca="false">'Calibración de tipos'!K62</f>
        <v>0</v>
      </c>
      <c r="Y9" s="42" t="n">
        <f aca="false">'Calibración de tipos'!L62</f>
        <v>0.0653202728081231</v>
      </c>
      <c r="Z9" s="42" t="n">
        <f aca="false">'Calibración de tipos'!M62</f>
        <v>0</v>
      </c>
      <c r="AA9" s="42" t="n">
        <f aca="false">'Calibración de tipos'!N62</f>
        <v>0.0215652530245248</v>
      </c>
      <c r="AB9" s="11" t="s">
        <v>782</v>
      </c>
    </row>
  </sheetData>
  <autoFilter ref="A4:AB9"/>
  <dataValidations count="2">
    <dataValidation allowBlank="false" errorStyle="stop" operator="between" showDropDown="false" showErrorMessage="false" showInputMessage="false" sqref="J5:J9" type="list">
      <formula1>"h,días hábiles"</formula1>
      <formula2>0</formula2>
    </dataValidation>
    <dataValidation allowBlank="false" errorStyle="stop" operator="between" showDropDown="false" showErrorMessage="false" showInputMessage="false" sqref="M5:M9" type="list">
      <formula1>"Sí,No"</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15" min="3" style="0" width="9"/>
    <col collapsed="false" customWidth="true" hidden="false" outlineLevel="0" max="16" min="16" style="0" width="12"/>
    <col collapsed="false" customWidth="true" hidden="false" outlineLevel="0" max="23" min="17" style="0" width="9"/>
    <col collapsed="false" customWidth="true" hidden="false" outlineLevel="0" max="24" min="24" style="0" width="13"/>
    <col collapsed="false" customWidth="true" hidden="false" outlineLevel="0" max="25" min="25" style="0" width="12"/>
  </cols>
  <sheetData>
    <row r="1" customFormat="false" ht="17.35" hidden="false" customHeight="false" outlineLevel="0" collapsed="false">
      <c r="A1" s="1" t="s">
        <v>783</v>
      </c>
    </row>
    <row r="2" customFormat="false" ht="15" hidden="false" customHeight="false" outlineLevel="0" collapsed="false">
      <c r="A2" s="2" t="s">
        <v>784</v>
      </c>
    </row>
    <row r="4" customFormat="false" ht="15" hidden="false" customHeight="false" outlineLevel="0" collapsed="false">
      <c r="A4" s="5" t="s">
        <v>785</v>
      </c>
    </row>
    <row r="5" customFormat="false" ht="23.85" hidden="false" customHeight="false" outlineLevel="0" collapsed="false">
      <c r="A5" s="10" t="s">
        <v>786</v>
      </c>
      <c r="B5" s="10" t="s">
        <v>787</v>
      </c>
      <c r="C5" s="10" t="s">
        <v>615</v>
      </c>
      <c r="D5" s="10" t="s">
        <v>625</v>
      </c>
      <c r="E5" s="10" t="s">
        <v>632</v>
      </c>
      <c r="F5" s="10" t="s">
        <v>637</v>
      </c>
      <c r="G5" s="10" t="s">
        <v>643</v>
      </c>
      <c r="H5" s="10" t="s">
        <v>651</v>
      </c>
      <c r="I5" s="10" t="s">
        <v>657</v>
      </c>
      <c r="J5" s="10" t="s">
        <v>663</v>
      </c>
      <c r="K5" s="10" t="s">
        <v>670</v>
      </c>
      <c r="L5" s="10" t="s">
        <v>676</v>
      </c>
      <c r="M5" s="10" t="s">
        <v>680</v>
      </c>
      <c r="N5" s="10" t="s">
        <v>686</v>
      </c>
    </row>
    <row r="6" customFormat="false" ht="15" hidden="false" customHeight="false" outlineLevel="0" collapsed="false">
      <c r="A6" s="11" t="s">
        <v>469</v>
      </c>
      <c r="C6" s="11" t="str">
        <f aca="false">Catálogo!B5</f>
        <v>HPLC</v>
      </c>
      <c r="D6" s="11" t="str">
        <f aca="false">Catálogo!B6</f>
        <v>HPLC</v>
      </c>
      <c r="E6" s="11" t="str">
        <f aca="false">Catálogo!B7</f>
        <v>GC</v>
      </c>
      <c r="F6" s="11" t="str">
        <f aca="false">Catálogo!B8</f>
        <v>GC</v>
      </c>
      <c r="G6" s="11" t="str">
        <f aca="false">Catálogo!B9</f>
        <v>PSA</v>
      </c>
      <c r="H6" s="11" t="str">
        <f aca="false">Catálogo!B10</f>
        <v>PSA</v>
      </c>
      <c r="I6" s="11" t="str">
        <f aca="false">Catálogo!B11</f>
        <v>KF</v>
      </c>
      <c r="J6" s="11" t="str">
        <f aca="false">Catálogo!B12</f>
        <v>KF</v>
      </c>
      <c r="K6" s="11" t="str">
        <f aca="false">Catálogo!B13</f>
        <v>DSC</v>
      </c>
      <c r="L6" s="11" t="str">
        <f aca="false">Catálogo!B14</f>
        <v>DSC</v>
      </c>
      <c r="M6" s="11" t="str">
        <f aca="false">Catálogo!B15</f>
        <v>XRPD</v>
      </c>
      <c r="N6" s="11" t="str">
        <f aca="false">Catálogo!B16</f>
        <v>XRPD</v>
      </c>
    </row>
    <row r="7" customFormat="false" ht="15" hidden="false" customHeight="false" outlineLevel="0" collapsed="false">
      <c r="A7" s="11" t="s">
        <v>600</v>
      </c>
      <c r="C7" s="42" t="n">
        <f aca="false">Catálogo!M5</f>
        <v>0.308056896551724</v>
      </c>
      <c r="D7" s="42" t="n">
        <f aca="false">Catálogo!M6</f>
        <v>0.0989431034482759</v>
      </c>
      <c r="E7" s="42" t="n">
        <f aca="false">Catálogo!M7</f>
        <v>0.07967</v>
      </c>
      <c r="F7" s="42" t="n">
        <f aca="false">Catálogo!M8</f>
        <v>0.17733</v>
      </c>
      <c r="G7" s="42" t="n">
        <f aca="false">Catálogo!M9</f>
        <v>0.068044776119403</v>
      </c>
      <c r="H7" s="42" t="n">
        <f aca="false">Catálogo!M10</f>
        <v>0.119955223880597</v>
      </c>
      <c r="I7" s="42" t="n">
        <f aca="false">Catálogo!M11</f>
        <v>0.045484375</v>
      </c>
      <c r="J7" s="42" t="n">
        <f aca="false">Catálogo!M12</f>
        <v>0.025515625</v>
      </c>
      <c r="K7" s="42" t="n">
        <f aca="false">Catálogo!M13</f>
        <v>0.00733333333333333</v>
      </c>
      <c r="L7" s="42" t="n">
        <f aca="false">Catálogo!M14</f>
        <v>0.0326666666666667</v>
      </c>
      <c r="M7" s="42" t="n">
        <f aca="false">Catálogo!M15</f>
        <v>0.0288071428571429</v>
      </c>
      <c r="N7" s="42" t="n">
        <f aca="false">Catálogo!M16</f>
        <v>0.00819285714285715</v>
      </c>
    </row>
    <row r="8" customFormat="false" ht="15" hidden="false" customHeight="false" outlineLevel="0" collapsed="false">
      <c r="A8" s="11" t="s">
        <v>609</v>
      </c>
      <c r="B8" s="42" t="n">
        <f aca="false">'Tipos de muestra'!D5</f>
        <v>0.25</v>
      </c>
      <c r="C8" s="41" t="n">
        <f aca="false">IF(INDEX(Catálogo!$V$5:$Z$16,MATCH(C$5,Catálogo!$A$5:$A$16,0),MATCH($A8,Catálogo!$V$4:$Z$4,0))="X",1,0)</f>
        <v>1</v>
      </c>
      <c r="D8" s="41" t="n">
        <f aca="false">IF(INDEX(Catálogo!$V$5:$Z$16,MATCH(D$5,Catálogo!$A$5:$A$16,0),MATCH($A8,Catálogo!$V$4:$Z$4,0))="X",1,0)</f>
        <v>1</v>
      </c>
      <c r="E8" s="41" t="n">
        <f aca="false">IF(INDEX(Catálogo!$V$5:$Z$16,MATCH(E$5,Catálogo!$A$5:$A$16,0),MATCH($A8,Catálogo!$V$4:$Z$4,0))="X",1,0)</f>
        <v>1</v>
      </c>
      <c r="F8" s="41" t="n">
        <f aca="false">IF(INDEX(Catálogo!$V$5:$Z$16,MATCH(F$5,Catálogo!$A$5:$A$16,0),MATCH($A8,Catálogo!$V$4:$Z$4,0))="X",1,0)</f>
        <v>1</v>
      </c>
      <c r="G8" s="41" t="n">
        <f aca="false">IF(INDEX(Catálogo!$V$5:$Z$16,MATCH(G$5,Catálogo!$A$5:$A$16,0),MATCH($A8,Catálogo!$V$4:$Z$4,0))="X",1,0)</f>
        <v>1</v>
      </c>
      <c r="H8" s="41" t="n">
        <f aca="false">IF(INDEX(Catálogo!$V$5:$Z$16,MATCH(H$5,Catálogo!$A$5:$A$16,0),MATCH($A8,Catálogo!$V$4:$Z$4,0))="X",1,0)</f>
        <v>1</v>
      </c>
      <c r="I8" s="41" t="n">
        <f aca="false">IF(INDEX(Catálogo!$V$5:$Z$16,MATCH(I$5,Catálogo!$A$5:$A$16,0),MATCH($A8,Catálogo!$V$4:$Z$4,0))="X",1,0)</f>
        <v>1</v>
      </c>
      <c r="J8" s="41" t="n">
        <f aca="false">IF(INDEX(Catálogo!$V$5:$Z$16,MATCH(J$5,Catálogo!$A$5:$A$16,0),MATCH($A8,Catálogo!$V$4:$Z$4,0))="X",1,0)</f>
        <v>1</v>
      </c>
      <c r="K8" s="41" t="n">
        <f aca="false">IF(INDEX(Catálogo!$V$5:$Z$16,MATCH(K$5,Catálogo!$A$5:$A$16,0),MATCH($A8,Catálogo!$V$4:$Z$4,0))="X",1,0)</f>
        <v>1</v>
      </c>
      <c r="L8" s="41" t="n">
        <f aca="false">IF(INDEX(Catálogo!$V$5:$Z$16,MATCH(L$5,Catálogo!$A$5:$A$16,0),MATCH($A8,Catálogo!$V$4:$Z$4,0))="X",1,0)</f>
        <v>1</v>
      </c>
      <c r="M8" s="41" t="n">
        <f aca="false">IF(INDEX(Catálogo!$V$5:$Z$16,MATCH(M$5,Catálogo!$A$5:$A$16,0),MATCH($A8,Catálogo!$V$4:$Z$4,0))="X",1,0)</f>
        <v>1</v>
      </c>
      <c r="N8" s="41" t="n">
        <f aca="false">IF(INDEX(Catálogo!$V$5:$Z$16,MATCH(N$5,Catálogo!$A$5:$A$16,0),MATCH($A8,Catálogo!$V$4:$Z$4,0))="X",1,0)</f>
        <v>0</v>
      </c>
    </row>
    <row r="9" customFormat="false" ht="15" hidden="false" customHeight="false" outlineLevel="0" collapsed="false">
      <c r="A9" s="11" t="s">
        <v>610</v>
      </c>
      <c r="B9" s="42" t="n">
        <f aca="false">'Tipos de muestra'!D6</f>
        <v>0.3</v>
      </c>
      <c r="C9" s="41" t="n">
        <f aca="false">IF(INDEX(Catálogo!$V$5:$Z$16,MATCH(C$5,Catálogo!$A$5:$A$16,0),MATCH($A9,Catálogo!$V$4:$Z$4,0))="X",1,0)</f>
        <v>1</v>
      </c>
      <c r="D9" s="41" t="n">
        <f aca="false">IF(INDEX(Catálogo!$V$5:$Z$16,MATCH(D$5,Catálogo!$A$5:$A$16,0),MATCH($A9,Catálogo!$V$4:$Z$4,0))="X",1,0)</f>
        <v>0</v>
      </c>
      <c r="E9" s="41" t="n">
        <f aca="false">IF(INDEX(Catálogo!$V$5:$Z$16,MATCH(E$5,Catálogo!$A$5:$A$16,0),MATCH($A9,Catálogo!$V$4:$Z$4,0))="X",1,0)</f>
        <v>0</v>
      </c>
      <c r="F9" s="41" t="n">
        <f aca="false">IF(INDEX(Catálogo!$V$5:$Z$16,MATCH(F$5,Catálogo!$A$5:$A$16,0),MATCH($A9,Catálogo!$V$4:$Z$4,0))="X",1,0)</f>
        <v>1</v>
      </c>
      <c r="G9" s="41" t="n">
        <f aca="false">IF(INDEX(Catálogo!$V$5:$Z$16,MATCH(G$5,Catálogo!$A$5:$A$16,0),MATCH($A9,Catálogo!$V$4:$Z$4,0))="X",1,0)</f>
        <v>1</v>
      </c>
      <c r="H9" s="41" t="n">
        <f aca="false">IF(INDEX(Catálogo!$V$5:$Z$16,MATCH(H$5,Catálogo!$A$5:$A$16,0),MATCH($A9,Catálogo!$V$4:$Z$4,0))="X",1,0)</f>
        <v>0</v>
      </c>
      <c r="I9" s="41" t="n">
        <f aca="false">IF(INDEX(Catálogo!$V$5:$Z$16,MATCH(I$5,Catálogo!$A$5:$A$16,0),MATCH($A9,Catálogo!$V$4:$Z$4,0))="X",1,0)</f>
        <v>1</v>
      </c>
      <c r="J9" s="41" t="n">
        <f aca="false">IF(INDEX(Catálogo!$V$5:$Z$16,MATCH(J$5,Catálogo!$A$5:$A$16,0),MATCH($A9,Catálogo!$V$4:$Z$4,0))="X",1,0)</f>
        <v>0</v>
      </c>
      <c r="K9" s="41" t="n">
        <f aca="false">IF(INDEX(Catálogo!$V$5:$Z$16,MATCH(K$5,Catálogo!$A$5:$A$16,0),MATCH($A9,Catálogo!$V$4:$Z$4,0))="X",1,0)</f>
        <v>1</v>
      </c>
      <c r="L9" s="41" t="n">
        <f aca="false">IF(INDEX(Catálogo!$V$5:$Z$16,MATCH(L$5,Catálogo!$A$5:$A$16,0),MATCH($A9,Catálogo!$V$4:$Z$4,0))="X",1,0)</f>
        <v>0</v>
      </c>
      <c r="M9" s="41" t="n">
        <f aca="false">IF(INDEX(Catálogo!$V$5:$Z$16,MATCH(M$5,Catálogo!$A$5:$A$16,0),MATCH($A9,Catálogo!$V$4:$Z$4,0))="X",1,0)</f>
        <v>1</v>
      </c>
      <c r="N9" s="41" t="n">
        <f aca="false">IF(INDEX(Catálogo!$V$5:$Z$16,MATCH(N$5,Catálogo!$A$5:$A$16,0),MATCH($A9,Catálogo!$V$4:$Z$4,0))="X",1,0)</f>
        <v>0</v>
      </c>
    </row>
    <row r="10" customFormat="false" ht="15" hidden="false" customHeight="false" outlineLevel="0" collapsed="false">
      <c r="A10" s="11" t="s">
        <v>611</v>
      </c>
      <c r="B10" s="42" t="n">
        <f aca="false">'Tipos de muestra'!D7</f>
        <v>0.1</v>
      </c>
      <c r="C10" s="41" t="n">
        <f aca="false">IF(INDEX(Catálogo!$V$5:$Z$16,MATCH(C$5,Catálogo!$A$5:$A$16,0),MATCH($A10,Catálogo!$V$4:$Z$4,0))="X",1,0)</f>
        <v>1</v>
      </c>
      <c r="D10" s="41" t="n">
        <f aca="false">IF(INDEX(Catálogo!$V$5:$Z$16,MATCH(D$5,Catálogo!$A$5:$A$16,0),MATCH($A10,Catálogo!$V$4:$Z$4,0))="X",1,0)</f>
        <v>1</v>
      </c>
      <c r="E10" s="41" t="n">
        <f aca="false">IF(INDEX(Catálogo!$V$5:$Z$16,MATCH(E$5,Catálogo!$A$5:$A$16,0),MATCH($A10,Catálogo!$V$4:$Z$4,0))="X",1,0)</f>
        <v>0</v>
      </c>
      <c r="F10" s="41" t="n">
        <f aca="false">IF(INDEX(Catálogo!$V$5:$Z$16,MATCH(F$5,Catálogo!$A$5:$A$16,0),MATCH($A10,Catálogo!$V$4:$Z$4,0))="X",1,0)</f>
        <v>1</v>
      </c>
      <c r="G10" s="41" t="n">
        <f aca="false">IF(INDEX(Catálogo!$V$5:$Z$16,MATCH(G$5,Catálogo!$A$5:$A$16,0),MATCH($A10,Catálogo!$V$4:$Z$4,0))="X",1,0)</f>
        <v>1</v>
      </c>
      <c r="H10" s="41" t="n">
        <f aca="false">IF(INDEX(Catálogo!$V$5:$Z$16,MATCH(H$5,Catálogo!$A$5:$A$16,0),MATCH($A10,Catálogo!$V$4:$Z$4,0))="X",1,0)</f>
        <v>1</v>
      </c>
      <c r="I10" s="41" t="n">
        <f aca="false">IF(INDEX(Catálogo!$V$5:$Z$16,MATCH(I$5,Catálogo!$A$5:$A$16,0),MATCH($A10,Catálogo!$V$4:$Z$4,0))="X",1,0)</f>
        <v>1</v>
      </c>
      <c r="J10" s="41" t="n">
        <f aca="false">IF(INDEX(Catálogo!$V$5:$Z$16,MATCH(J$5,Catálogo!$A$5:$A$16,0),MATCH($A10,Catálogo!$V$4:$Z$4,0))="X",1,0)</f>
        <v>0</v>
      </c>
      <c r="K10" s="41" t="n">
        <f aca="false">IF(INDEX(Catálogo!$V$5:$Z$16,MATCH(K$5,Catálogo!$A$5:$A$16,0),MATCH($A10,Catálogo!$V$4:$Z$4,0))="X",1,0)</f>
        <v>0</v>
      </c>
      <c r="L10" s="41" t="n">
        <f aca="false">IF(INDEX(Catálogo!$V$5:$Z$16,MATCH(L$5,Catálogo!$A$5:$A$16,0),MATCH($A10,Catálogo!$V$4:$Z$4,0))="X",1,0)</f>
        <v>1</v>
      </c>
      <c r="M10" s="41" t="n">
        <f aca="false">IF(INDEX(Catálogo!$V$5:$Z$16,MATCH(M$5,Catálogo!$A$5:$A$16,0),MATCH($A10,Catálogo!$V$4:$Z$4,0))="X",1,0)</f>
        <v>0</v>
      </c>
      <c r="N10" s="41" t="n">
        <f aca="false">IF(INDEX(Catálogo!$V$5:$Z$16,MATCH(N$5,Catálogo!$A$5:$A$16,0),MATCH($A10,Catálogo!$V$4:$Z$4,0))="X",1,0)</f>
        <v>1</v>
      </c>
    </row>
    <row r="11" customFormat="false" ht="15" hidden="false" customHeight="false" outlineLevel="0" collapsed="false">
      <c r="A11" s="11" t="s">
        <v>612</v>
      </c>
      <c r="B11" s="42" t="n">
        <f aca="false">'Tipos de muestra'!D8</f>
        <v>0.2</v>
      </c>
      <c r="C11" s="41" t="n">
        <f aca="false">IF(INDEX(Catálogo!$V$5:$Z$16,MATCH(C$5,Catálogo!$A$5:$A$16,0),MATCH($A11,Catálogo!$V$4:$Z$4,0))="X",1,0)</f>
        <v>1</v>
      </c>
      <c r="D11" s="41" t="n">
        <f aca="false">IF(INDEX(Catálogo!$V$5:$Z$16,MATCH(D$5,Catálogo!$A$5:$A$16,0),MATCH($A11,Catálogo!$V$4:$Z$4,0))="X",1,0)</f>
        <v>1</v>
      </c>
      <c r="E11" s="41" t="n">
        <f aca="false">IF(INDEX(Catálogo!$V$5:$Z$16,MATCH(E$5,Catálogo!$A$5:$A$16,0),MATCH($A11,Catálogo!$V$4:$Z$4,0))="X",1,0)</f>
        <v>0</v>
      </c>
      <c r="F11" s="41" t="n">
        <f aca="false">IF(INDEX(Catálogo!$V$5:$Z$16,MATCH(F$5,Catálogo!$A$5:$A$16,0),MATCH($A11,Catálogo!$V$4:$Z$4,0))="X",1,0)</f>
        <v>1</v>
      </c>
      <c r="G11" s="41" t="n">
        <f aca="false">IF(INDEX(Catálogo!$V$5:$Z$16,MATCH(G$5,Catálogo!$A$5:$A$16,0),MATCH($A11,Catálogo!$V$4:$Z$4,0))="X",1,0)</f>
        <v>0</v>
      </c>
      <c r="H11" s="41" t="n">
        <f aca="false">IF(INDEX(Catálogo!$V$5:$Z$16,MATCH(H$5,Catálogo!$A$5:$A$16,0),MATCH($A11,Catálogo!$V$4:$Z$4,0))="X",1,0)</f>
        <v>1</v>
      </c>
      <c r="I11" s="41" t="n">
        <f aca="false">IF(INDEX(Catálogo!$V$5:$Z$16,MATCH(I$5,Catálogo!$A$5:$A$16,0),MATCH($A11,Catálogo!$V$4:$Z$4,0))="X",1,0)</f>
        <v>1</v>
      </c>
      <c r="J11" s="41" t="n">
        <f aca="false">IF(INDEX(Catálogo!$V$5:$Z$16,MATCH(J$5,Catálogo!$A$5:$A$16,0),MATCH($A11,Catálogo!$V$4:$Z$4,0))="X",1,0)</f>
        <v>1</v>
      </c>
      <c r="K11" s="41" t="n">
        <f aca="false">IF(INDEX(Catálogo!$V$5:$Z$16,MATCH(K$5,Catálogo!$A$5:$A$16,0),MATCH($A11,Catálogo!$V$4:$Z$4,0))="X",1,0)</f>
        <v>0</v>
      </c>
      <c r="L11" s="41" t="n">
        <f aca="false">IF(INDEX(Catálogo!$V$5:$Z$16,MATCH(L$5,Catálogo!$A$5:$A$16,0),MATCH($A11,Catálogo!$V$4:$Z$4,0))="X",1,0)</f>
        <v>1</v>
      </c>
      <c r="M11" s="41" t="n">
        <f aca="false">IF(INDEX(Catálogo!$V$5:$Z$16,MATCH(M$5,Catálogo!$A$5:$A$16,0),MATCH($A11,Catálogo!$V$4:$Z$4,0))="X",1,0)</f>
        <v>1</v>
      </c>
      <c r="N11" s="41" t="n">
        <f aca="false">IF(INDEX(Catálogo!$V$5:$Z$16,MATCH(N$5,Catálogo!$A$5:$A$16,0),MATCH($A11,Catálogo!$V$4:$Z$4,0))="X",1,0)</f>
        <v>1</v>
      </c>
    </row>
    <row r="12" customFormat="false" ht="15" hidden="false" customHeight="false" outlineLevel="0" collapsed="false">
      <c r="A12" s="11" t="s">
        <v>613</v>
      </c>
      <c r="B12" s="42" t="n">
        <f aca="false">'Tipos de muestra'!D9</f>
        <v>0.15</v>
      </c>
      <c r="C12" s="41" t="n">
        <f aca="false">IF(INDEX(Catálogo!$V$5:$Z$16,MATCH(C$5,Catálogo!$A$5:$A$16,0),MATCH($A12,Catálogo!$V$4:$Z$4,0))="X",1,0)</f>
        <v>1</v>
      </c>
      <c r="D12" s="41" t="n">
        <f aca="false">IF(INDEX(Catálogo!$V$5:$Z$16,MATCH(D$5,Catálogo!$A$5:$A$16,0),MATCH($A12,Catálogo!$V$4:$Z$4,0))="X",1,0)</f>
        <v>1</v>
      </c>
      <c r="E12" s="41" t="n">
        <f aca="false">IF(INDEX(Catálogo!$V$5:$Z$16,MATCH(E$5,Catálogo!$A$5:$A$16,0),MATCH($A12,Catálogo!$V$4:$Z$4,0))="X",1,0)</f>
        <v>0</v>
      </c>
      <c r="F12" s="41" t="n">
        <f aca="false">IF(INDEX(Catálogo!$V$5:$Z$16,MATCH(F$5,Catálogo!$A$5:$A$16,0),MATCH($A12,Catálogo!$V$4:$Z$4,0))="X",1,0)</f>
        <v>0</v>
      </c>
      <c r="G12" s="41" t="n">
        <f aca="false">IF(INDEX(Catálogo!$V$5:$Z$16,MATCH(G$5,Catálogo!$A$5:$A$16,0),MATCH($A12,Catálogo!$V$4:$Z$4,0))="X",1,0)</f>
        <v>0</v>
      </c>
      <c r="H12" s="41" t="n">
        <f aca="false">IF(INDEX(Catálogo!$V$5:$Z$16,MATCH(H$5,Catálogo!$A$5:$A$16,0),MATCH($A12,Catálogo!$V$4:$Z$4,0))="X",1,0)</f>
        <v>1</v>
      </c>
      <c r="I12" s="41" t="n">
        <f aca="false">IF(INDEX(Catálogo!$V$5:$Z$16,MATCH(I$5,Catálogo!$A$5:$A$16,0),MATCH($A12,Catálogo!$V$4:$Z$4,0))="X",1,0)</f>
        <v>1</v>
      </c>
      <c r="J12" s="41" t="n">
        <f aca="false">IF(INDEX(Catálogo!$V$5:$Z$16,MATCH(J$5,Catálogo!$A$5:$A$16,0),MATCH($A12,Catálogo!$V$4:$Z$4,0))="X",1,0)</f>
        <v>1</v>
      </c>
      <c r="K12" s="41" t="n">
        <f aca="false">IF(INDEX(Catálogo!$V$5:$Z$16,MATCH(K$5,Catálogo!$A$5:$A$16,0),MATCH($A12,Catálogo!$V$4:$Z$4,0))="X",1,0)</f>
        <v>0</v>
      </c>
      <c r="L12" s="41" t="n">
        <f aca="false">IF(INDEX(Catálogo!$V$5:$Z$16,MATCH(L$5,Catálogo!$A$5:$A$16,0),MATCH($A12,Catálogo!$V$4:$Z$4,0))="X",1,0)</f>
        <v>1</v>
      </c>
      <c r="M12" s="41" t="n">
        <f aca="false">IF(INDEX(Catálogo!$V$5:$Z$16,MATCH(M$5,Catálogo!$A$5:$A$16,0),MATCH($A12,Catálogo!$V$4:$Z$4,0))="X",1,0)</f>
        <v>0</v>
      </c>
      <c r="N12" s="41" t="n">
        <f aca="false">IF(INDEX(Catálogo!$V$5:$Z$16,MATCH(N$5,Catálogo!$A$5:$A$16,0),MATCH($A12,Catálogo!$V$4:$Z$4,0))="X",1,0)</f>
        <v>1</v>
      </c>
    </row>
    <row r="13" customFormat="false" ht="15" hidden="false" customHeight="false" outlineLevel="0" collapsed="false">
      <c r="A13" s="11" t="s">
        <v>788</v>
      </c>
      <c r="C13" s="41" t="n">
        <f aca="false">SUM(C8:C12)</f>
        <v>5</v>
      </c>
      <c r="D13" s="41" t="n">
        <f aca="false">SUM(D8:D12)</f>
        <v>4</v>
      </c>
      <c r="E13" s="41" t="n">
        <f aca="false">SUM(E8:E12)</f>
        <v>1</v>
      </c>
      <c r="F13" s="41" t="n">
        <f aca="false">SUM(F8:F12)</f>
        <v>4</v>
      </c>
      <c r="G13" s="41" t="n">
        <f aca="false">SUM(G8:G12)</f>
        <v>3</v>
      </c>
      <c r="H13" s="41" t="n">
        <f aca="false">SUM(H8:H12)</f>
        <v>4</v>
      </c>
      <c r="I13" s="41" t="n">
        <f aca="false">SUM(I8:I12)</f>
        <v>5</v>
      </c>
      <c r="J13" s="41" t="n">
        <f aca="false">SUM(J8:J12)</f>
        <v>3</v>
      </c>
      <c r="K13" s="41" t="n">
        <f aca="false">SUM(K8:K12)</f>
        <v>2</v>
      </c>
      <c r="L13" s="41" t="n">
        <f aca="false">SUM(L8:L12)</f>
        <v>4</v>
      </c>
      <c r="M13" s="41" t="n">
        <f aca="false">SUM(M8:M12)</f>
        <v>3</v>
      </c>
      <c r="N13" s="41" t="n">
        <f aca="false">SUM(N8:N12)</f>
        <v>3</v>
      </c>
    </row>
    <row r="15" customFormat="false" ht="15" hidden="false" customHeight="false" outlineLevel="0" collapsed="false">
      <c r="A15" s="5" t="s">
        <v>789</v>
      </c>
    </row>
    <row r="16" customFormat="false" ht="35.05" hidden="false" customHeight="false" outlineLevel="0" collapsed="false">
      <c r="A16" s="10" t="s">
        <v>790</v>
      </c>
      <c r="B16" s="10" t="s">
        <v>791</v>
      </c>
      <c r="C16" s="10" t="s">
        <v>792</v>
      </c>
      <c r="D16" s="10" t="s">
        <v>793</v>
      </c>
      <c r="E16" s="10" t="s">
        <v>794</v>
      </c>
      <c r="F16" s="10" t="s">
        <v>795</v>
      </c>
      <c r="G16" s="10" t="s">
        <v>796</v>
      </c>
      <c r="H16" s="10" t="s">
        <v>797</v>
      </c>
      <c r="I16" s="10" t="s">
        <v>798</v>
      </c>
      <c r="J16" s="10" t="s">
        <v>799</v>
      </c>
      <c r="K16" s="10" t="s">
        <v>800</v>
      </c>
      <c r="L16" s="10" t="s">
        <v>801</v>
      </c>
      <c r="M16" s="10" t="s">
        <v>802</v>
      </c>
      <c r="N16" s="10" t="s">
        <v>803</v>
      </c>
      <c r="O16" s="10" t="s">
        <v>804</v>
      </c>
      <c r="P16" s="10" t="s">
        <v>805</v>
      </c>
      <c r="Q16" s="10" t="s">
        <v>806</v>
      </c>
      <c r="R16" s="10" t="s">
        <v>807</v>
      </c>
      <c r="S16" s="10" t="s">
        <v>808</v>
      </c>
      <c r="T16" s="10" t="s">
        <v>809</v>
      </c>
      <c r="U16" s="10" t="s">
        <v>810</v>
      </c>
      <c r="V16" s="10" t="s">
        <v>811</v>
      </c>
      <c r="W16" s="10" t="s">
        <v>812</v>
      </c>
      <c r="X16" s="10" t="s">
        <v>813</v>
      </c>
    </row>
    <row r="17" customFormat="false" ht="15" hidden="false" customHeight="false" outlineLevel="0" collapsed="false">
      <c r="A17" s="41" t="n">
        <v>0</v>
      </c>
      <c r="B17" s="59" t="n">
        <f aca="false">$B$8</f>
        <v>0.25</v>
      </c>
      <c r="C17" s="59" t="n">
        <f aca="false">$B$9</f>
        <v>0.3</v>
      </c>
      <c r="D17" s="59" t="n">
        <f aca="false">$B$10</f>
        <v>0.1</v>
      </c>
      <c r="E17" s="59" t="n">
        <f aca="false">$B$11</f>
        <v>0.2</v>
      </c>
      <c r="F17" s="59" t="n">
        <f aca="false">$B$12</f>
        <v>0.15</v>
      </c>
      <c r="G17" s="59" t="n">
        <f aca="false">IFERROR(C$7/($B17*C$8+$C17*C$9+$D17*C$10+$E17*C$11+$F17*C$12),0)</f>
        <v>0.308056896551724</v>
      </c>
      <c r="H17" s="59" t="n">
        <f aca="false">IFERROR(D$7/($B17*D$8+$C17*D$9+$D17*D$10+$E17*D$11+$F17*D$12),0)</f>
        <v>0.141347290640394</v>
      </c>
      <c r="I17" s="59" t="n">
        <f aca="false">IFERROR(E$7/($B17*E$8+$C17*E$9+$D17*E$10+$E17*E$11+$F17*E$12),0)</f>
        <v>0.31868</v>
      </c>
      <c r="J17" s="59" t="n">
        <f aca="false">IFERROR(F$7/($B17*F$8+$C17*F$9+$D17*F$10+$E17*F$11+$F17*F$12),0)</f>
        <v>0.208623529411765</v>
      </c>
      <c r="K17" s="59" t="n">
        <f aca="false">IFERROR(G$7/($B17*G$8+$C17*G$9+$D17*G$10+$E17*G$11+$F17*G$12),0)</f>
        <v>0.104684270952928</v>
      </c>
      <c r="L17" s="59" t="n">
        <f aca="false">IFERROR(H$7/($B17*H$8+$C17*H$9+$D17*H$10+$E17*H$11+$F17*H$12),0)</f>
        <v>0.17136460554371</v>
      </c>
      <c r="M17" s="59" t="n">
        <f aca="false">IFERROR(I$7/($B17*I$8+$C17*I$9+$D17*I$10+$E17*I$11+$F17*I$12),0)</f>
        <v>0.045484375</v>
      </c>
      <c r="N17" s="59" t="n">
        <f aca="false">IFERROR(J$7/($B17*J$8+$C17*J$9+$D17*J$10+$E17*J$11+$F17*J$12),0)</f>
        <v>0.0425260416666667</v>
      </c>
      <c r="O17" s="59" t="n">
        <f aca="false">IFERROR(K$7/($B17*K$8+$C17*K$9+$D17*K$10+$E17*K$11+$F17*K$12),0)</f>
        <v>0.0133333333333333</v>
      </c>
      <c r="P17" s="59" t="n">
        <f aca="false">IFERROR(L$7/($B17*L$8+$C17*L$9+$D17*L$10+$E17*L$11+$F17*L$12),0)</f>
        <v>0.0466666666666667</v>
      </c>
      <c r="Q17" s="59" t="n">
        <f aca="false">IFERROR(M$7/($B17*M$8+$C17*M$9+$D17*M$10+$E17*M$11+$F17*M$12),0)</f>
        <v>0.0384095238095238</v>
      </c>
      <c r="R17" s="59" t="n">
        <f aca="false">IFERROR(N$7/($B17*N$8+$C17*N$9+$D17*N$10+$E17*N$11+$F17*N$12),0)</f>
        <v>0.0182063492063492</v>
      </c>
      <c r="S17" s="59" t="n">
        <f aca="false">B17*SUMPRODUCT($C$8:$N$8,$G17:$R17)</f>
        <v>0.359794133394178</v>
      </c>
      <c r="T17" s="59" t="n">
        <f aca="false">C17*SUMPRODUCT($C$9:$N$9,$G17:$R17)</f>
        <v>0.215577578717782</v>
      </c>
      <c r="U17" s="59" t="n">
        <f aca="false">D17*SUMPRODUCT($C$10:$N$10,$G17:$R17)</f>
        <v>0.104443398397354</v>
      </c>
      <c r="V17" s="59" t="n">
        <f aca="false">E17*SUMPRODUCT($C$11:$N$11,$G17:$R17)</f>
        <v>0.20413705569936</v>
      </c>
      <c r="W17" s="59" t="n">
        <f aca="false">F17*SUMPRODUCT($C$12:$N$12,$G17:$R17)</f>
        <v>0.116047833791327</v>
      </c>
      <c r="X17" s="60" t="n">
        <f aca="false">ABS(S17-$B$8)+ABS(T17-$B$9)+ABS(U17-$B$10)+ABS(V17-$B$11)+ABS(W17-$B$12)</f>
        <v>0.236749174981783</v>
      </c>
    </row>
    <row r="18" customFormat="false" ht="15" hidden="false" customHeight="false" outlineLevel="0" collapsed="false">
      <c r="A18" s="41" t="n">
        <v>1</v>
      </c>
      <c r="B18" s="59" t="n">
        <f aca="false">IFERROR(B17*$B$8/S17,0)</f>
        <v>0.173710447722968</v>
      </c>
      <c r="C18" s="59" t="n">
        <f aca="false">IFERROR(C17*$B$9/T17,0)</f>
        <v>0.41748311923394</v>
      </c>
      <c r="D18" s="59" t="n">
        <f aca="false">IFERROR(D17*$B$10/U17,0)</f>
        <v>0.0957456397766293</v>
      </c>
      <c r="E18" s="59" t="n">
        <f aca="false">IFERROR(E17*$B$11/V17,0)</f>
        <v>0.195946786157774</v>
      </c>
      <c r="F18" s="59" t="n">
        <f aca="false">IFERROR(F17*$B$12/W17,0)</f>
        <v>0.193885566536802</v>
      </c>
      <c r="G18" s="59" t="n">
        <f aca="false">IFERROR(C$7/($B18*C$8+$C18*C$9+$D18*C$10+$E18*C$11+$F18*C$12),0)</f>
        <v>0.286093084326388</v>
      </c>
      <c r="H18" s="59" t="n">
        <f aca="false">IFERROR(D$7/($B18*D$8+$C18*D$9+$D18*D$10+$E18*D$11+$F18*D$12),0)</f>
        <v>0.15007559273925</v>
      </c>
      <c r="I18" s="59" t="n">
        <f aca="false">IFERROR(E$7/($B18*E$8+$C18*E$9+$D18*E$10+$E18*E$11+$F18*E$12),0)</f>
        <v>0.458636777720226</v>
      </c>
      <c r="J18" s="59" t="n">
        <f aca="false">IFERROR(F$7/($B18*F$8+$C18*F$9+$D18*F$10+$E18*F$11+$F18*F$12),0)</f>
        <v>0.200852659831279</v>
      </c>
      <c r="K18" s="59" t="n">
        <f aca="false">IFERROR(G$7/($B18*G$8+$C18*G$9+$D18*G$10+$E18*G$11+$F18*G$12),0)</f>
        <v>0.099055018919305</v>
      </c>
      <c r="L18" s="59" t="n">
        <f aca="false">IFERROR(H$7/($B18*H$8+$C18*H$9+$D18*H$10+$E18*H$11+$F18*H$12),0)</f>
        <v>0.181946499540122</v>
      </c>
      <c r="M18" s="59" t="n">
        <f aca="false">IFERROR(I$7/($B18*I$8+$C18*I$9+$D18*I$10+$E18*I$11+$F18*I$12),0)</f>
        <v>0.0422414342222758</v>
      </c>
      <c r="N18" s="59" t="n">
        <f aca="false">IFERROR(J$7/($B18*J$8+$C18*J$9+$D18*J$10+$E18*J$11+$F18*J$12),0)</f>
        <v>0.0452771732352801</v>
      </c>
      <c r="O18" s="59" t="n">
        <f aca="false">IFERROR(K$7/($B18*K$8+$C18*K$9+$D18*K$10+$E18*K$11+$F18*K$12),0)</f>
        <v>0.0124042847270492</v>
      </c>
      <c r="P18" s="59" t="n">
        <f aca="false">IFERROR(L$7/($B18*L$8+$C18*L$9+$D18*L$10+$E18*L$11+$F18*L$12),0)</f>
        <v>0.0495483686276157</v>
      </c>
      <c r="Q18" s="59" t="n">
        <f aca="false">IFERROR(M$7/($B18*M$8+$C18*M$9+$D18*M$10+$E18*M$11+$F18*M$12),0)</f>
        <v>0.0365972126103739</v>
      </c>
      <c r="R18" s="59" t="n">
        <f aca="false">IFERROR(N$7/($B18*N$8+$C18*N$9+$D18*N$10+$E18*N$11+$F18*N$12),0)</f>
        <v>0.0168723815121069</v>
      </c>
      <c r="S18" s="59" t="n">
        <f aca="false">B18*SUMPRODUCT($C$8:$N$8,$G18:$R18)</f>
        <v>0.271462199049237</v>
      </c>
      <c r="T18" s="59" t="n">
        <f aca="false">C18*SUMPRODUCT($C$9:$N$9,$G18:$R18)</f>
        <v>0.282737810118436</v>
      </c>
      <c r="U18" s="59" t="n">
        <f aca="false">D18*SUMPRODUCT($C$10:$N$10,$G18:$R18)</f>
        <v>0.0983006159769268</v>
      </c>
      <c r="V18" s="59" t="n">
        <f aca="false">E18*SUMPRODUCT($C$11:$N$11,$G18:$R18)</f>
        <v>0.197809144094138</v>
      </c>
      <c r="W18" s="59" t="n">
        <f aca="false">F18*SUMPRODUCT($C$12:$N$12,$G18:$R18)</f>
        <v>0.149690230761263</v>
      </c>
      <c r="X18" s="60" t="n">
        <f aca="false">ABS(S18-$B$8)+ABS(T18-$B$9)+ABS(U18-$B$10)+ABS(V18-$B$11)+ABS(W18-$B$12)</f>
        <v>0.0429243980984731</v>
      </c>
    </row>
    <row r="19" customFormat="false" ht="15" hidden="false" customHeight="false" outlineLevel="0" collapsed="false">
      <c r="A19" s="41" t="n">
        <v>2</v>
      </c>
      <c r="B19" s="59" t="n">
        <f aca="false">IFERROR(B18*$B$8/S18,0)</f>
        <v>0.159976645303995</v>
      </c>
      <c r="C19" s="59" t="n">
        <f aca="false">IFERROR(C18*$B$9/T18,0)</f>
        <v>0.442972009006218</v>
      </c>
      <c r="D19" s="59" t="n">
        <f aca="false">IFERROR(D18*$B$10/U18,0)</f>
        <v>0.0974008543335098</v>
      </c>
      <c r="E19" s="59" t="n">
        <f aca="false">IFERROR(E18*$B$11/V18,0)</f>
        <v>0.198117015323136</v>
      </c>
      <c r="F19" s="59" t="n">
        <f aca="false">IFERROR(F18*$B$12/W18,0)</f>
        <v>0.194286793684644</v>
      </c>
      <c r="G19" s="59" t="n">
        <f aca="false">IFERROR(C$7/($B19*C$8+$C19*C$9+$D19*C$10+$E19*C$11+$F19*C$12),0)</f>
        <v>0.281908909884425</v>
      </c>
      <c r="H19" s="59" t="n">
        <f aca="false">IFERROR(D$7/($B19*D$8+$C19*D$9+$D19*D$10+$E19*D$11+$F19*D$12),0)</f>
        <v>0.15227139059226</v>
      </c>
      <c r="I19" s="59" t="n">
        <f aca="false">IFERROR(E$7/($B19*E$8+$C19*E$9+$D19*E$10+$E19*E$11+$F19*E$12),0)</f>
        <v>0.498010192979154</v>
      </c>
      <c r="J19" s="59" t="n">
        <f aca="false">IFERROR(F$7/($B19*F$8+$C19*F$9+$D19*F$10+$E19*F$11+$F19*F$12),0)</f>
        <v>0.197369623986726</v>
      </c>
      <c r="K19" s="59" t="n">
        <f aca="false">IFERROR(G$7/($B19*G$8+$C19*G$9+$D19*G$10+$E19*G$11+$F19*G$12),0)</f>
        <v>0.0971583120707497</v>
      </c>
      <c r="L19" s="59" t="n">
        <f aca="false">IFERROR(H$7/($B19*H$8+$C19*H$9+$D19*H$10+$E19*H$11+$F19*H$12),0)</f>
        <v>0.184608609519238</v>
      </c>
      <c r="M19" s="59" t="n">
        <f aca="false">IFERROR(I$7/($B19*I$8+$C19*I$9+$D19*I$10+$E19*I$11+$F19*I$12),0)</f>
        <v>0.0416236439325144</v>
      </c>
      <c r="N19" s="59" t="n">
        <f aca="false">IFERROR(J$7/($B19*J$8+$C19*J$9+$D19*J$10+$E19*J$11+$F19*J$12),0)</f>
        <v>0.0461921213917508</v>
      </c>
      <c r="O19" s="59" t="n">
        <f aca="false">IFERROR(K$7/($B19*K$8+$C19*K$9+$D19*K$10+$E19*K$11+$F19*K$12),0)</f>
        <v>0.0121624507840105</v>
      </c>
      <c r="P19" s="59" t="n">
        <f aca="false">IFERROR(L$7/($B19*L$8+$C19*L$9+$D19*L$10+$E19*L$11+$F19*L$12),0)</f>
        <v>0.0502733246279009</v>
      </c>
      <c r="Q19" s="59" t="n">
        <f aca="false">IFERROR(M$7/($B19*M$8+$C19*M$9+$D19*M$10+$E19*M$11+$F19*M$12),0)</f>
        <v>0.0359610253555467</v>
      </c>
      <c r="R19" s="59" t="n">
        <f aca="false">IFERROR(N$7/($B19*N$8+$C19*N$9+$D19*N$10+$E19*N$11+$F19*N$12),0)</f>
        <v>0.0167267846879368</v>
      </c>
      <c r="S19" s="59" t="n">
        <f aca="false">B19*SUMPRODUCT($C$8:$N$8,$G19:$R19)</f>
        <v>0.25556902676805</v>
      </c>
      <c r="T19" s="59" t="n">
        <f aca="false">C19*SUMPRODUCT($C$9:$N$9,$G19:$R19)</f>
        <v>0.29510084979294</v>
      </c>
      <c r="U19" s="59" t="n">
        <f aca="false">D19*SUMPRODUCT($C$10:$N$10,$G19:$R19)</f>
        <v>0.0995378874500896</v>
      </c>
      <c r="V19" s="59" t="n">
        <f aca="false">E19*SUMPRODUCT($C$11:$N$11,$G19:$R19)</f>
        <v>0.199491042802888</v>
      </c>
      <c r="W19" s="59" t="n">
        <f aca="false">F19*SUMPRODUCT($C$12:$N$12,$G19:$R19)</f>
        <v>0.150301193186033</v>
      </c>
      <c r="X19" s="60" t="n">
        <f aca="false">ABS(S19-$B$8)+ABS(T19-$B$9)+ABS(U19-$B$10)+ABS(V19-$B$11)+ABS(W19-$B$12)</f>
        <v>0.0117404399081666</v>
      </c>
    </row>
    <row r="20" customFormat="false" ht="15" hidden="false" customHeight="false" outlineLevel="0" collapsed="false">
      <c r="A20" s="41" t="n">
        <v>3</v>
      </c>
      <c r="B20" s="59" t="n">
        <f aca="false">IFERROR(B19*$B$8/S19,0)</f>
        <v>0.156490642985062</v>
      </c>
      <c r="C20" s="59" t="n">
        <f aca="false">IFERROR(C19*$B$9/T19,0)</f>
        <v>0.450326059023924</v>
      </c>
      <c r="D20" s="59" t="n">
        <f aca="false">IFERROR(D19*$B$10/U19,0)</f>
        <v>0.0978530455374077</v>
      </c>
      <c r="E20" s="59" t="n">
        <f aca="false">IFERROR(E19*$B$11/V19,0)</f>
        <v>0.198622466993559</v>
      </c>
      <c r="F20" s="59" t="n">
        <f aca="false">IFERROR(F19*$B$12/W19,0)</f>
        <v>0.193897456400265</v>
      </c>
      <c r="G20" s="59" t="n">
        <f aca="false">IFERROR(C$7/($B20*C$8+$C20*C$9+$D20*C$10+$E20*C$11+$F20*C$12),0)</f>
        <v>0.280769045417407</v>
      </c>
      <c r="H20" s="59" t="n">
        <f aca="false">IFERROR(D$7/($B20*D$8+$C20*D$9+$D20*D$10+$E20*D$11+$F20*D$12),0)</f>
        <v>0.15295821503263</v>
      </c>
      <c r="I20" s="59" t="n">
        <f aca="false">IFERROR(E$7/($B20*E$8+$C20*E$9+$D20*E$10+$E20*E$11+$F20*E$12),0)</f>
        <v>0.509103921361005</v>
      </c>
      <c r="J20" s="59" t="n">
        <f aca="false">IFERROR(F$7/($B20*F$8+$C20*F$9+$D20*F$10+$E20*F$11+$F20*F$12),0)</f>
        <v>0.196315209126777</v>
      </c>
      <c r="K20" s="59" t="n">
        <f aca="false">IFERROR(G$7/($B20*G$8+$C20*G$9+$D20*G$10+$E20*G$11+$F20*G$12),0)</f>
        <v>0.0965626470503803</v>
      </c>
      <c r="L20" s="59" t="n">
        <f aca="false">IFERROR(H$7/($B20*H$8+$C20*H$9+$D20*H$10+$E20*H$11+$F20*H$12),0)</f>
        <v>0.185441291905781</v>
      </c>
      <c r="M20" s="59" t="n">
        <f aca="false">IFERROR(I$7/($B20*I$8+$C20*I$9+$D20*I$10+$E20*I$11+$F20*I$12),0)</f>
        <v>0.0414553437793695</v>
      </c>
      <c r="N20" s="59" t="n">
        <f aca="false">IFERROR(J$7/($B20*J$8+$C20*J$9+$D20*J$10+$E20*J$11+$F20*J$12),0)</f>
        <v>0.0464756537716453</v>
      </c>
      <c r="O20" s="59" t="n">
        <f aca="false">IFERROR(K$7/($B20*K$8+$C20*K$9+$D20*K$10+$E20*K$11+$F20*K$12),0)</f>
        <v>0.0120849233533864</v>
      </c>
      <c r="P20" s="59" t="n">
        <f aca="false">IFERROR(L$7/($B20*L$8+$C20*L$9+$D20*L$10+$E20*L$11+$F20*L$12),0)</f>
        <v>0.0505000838892355</v>
      </c>
      <c r="Q20" s="59" t="n">
        <f aca="false">IFERROR(M$7/($B20*M$8+$C20*M$9+$D20*M$10+$E20*M$11+$F20*M$12),0)</f>
        <v>0.0357657585647562</v>
      </c>
      <c r="R20" s="59" t="n">
        <f aca="false">IFERROR(N$7/($B20*N$8+$C20*N$9+$D20*N$10+$E20*N$11+$F20*N$12),0)</f>
        <v>0.0167073995956863</v>
      </c>
      <c r="S20" s="59" t="n">
        <f aca="false">B20*SUMPRODUCT($C$8:$N$8,$G20:$R20)</f>
        <v>0.251548081827888</v>
      </c>
      <c r="T20" s="59" t="n">
        <f aca="false">C20*SUMPRODUCT($C$9:$N$9,$G20:$R20)</f>
        <v>0.298544979065815</v>
      </c>
      <c r="U20" s="59" t="n">
        <f aca="false">D20*SUMPRODUCT($C$10:$N$10,$G20:$R20)</f>
        <v>0.0998795073309225</v>
      </c>
      <c r="V20" s="59" t="n">
        <f aca="false">E20*SUMPRODUCT($C$11:$N$11,$G20:$R20)</f>
        <v>0.199891267527879</v>
      </c>
      <c r="W20" s="59" t="n">
        <f aca="false">F20*SUMPRODUCT($C$12:$N$12,$G20:$R20)</f>
        <v>0.150136164247496</v>
      </c>
      <c r="X20" s="60" t="n">
        <f aca="false">ABS(S20-$B$8)+ABS(T20-$B$9)+ABS(U20-$B$10)+ABS(V20-$B$11)+ABS(W20-$B$12)</f>
        <v>0.00336849215076729</v>
      </c>
    </row>
    <row r="21" customFormat="false" ht="15" hidden="false" customHeight="false" outlineLevel="0" collapsed="false">
      <c r="A21" s="41" t="n">
        <v>4</v>
      </c>
      <c r="B21" s="59" t="n">
        <f aca="false">IFERROR(B20*$B$8/S20,0)</f>
        <v>0.155527565394173</v>
      </c>
      <c r="C21" s="59" t="n">
        <f aca="false">IFERROR(C20*$B$9/T20,0)</f>
        <v>0.452520816561429</v>
      </c>
      <c r="D21" s="59" t="n">
        <f aca="false">IFERROR(D20*$B$10/U20,0)</f>
        <v>0.0979710935229179</v>
      </c>
      <c r="E21" s="59" t="n">
        <f aca="false">IFERROR(E20*$B$11/V20,0)</f>
        <v>0.198730509291365</v>
      </c>
      <c r="F21" s="59" t="n">
        <f aca="false">IFERROR(F20*$B$12/W20,0)</f>
        <v>0.193721603357965</v>
      </c>
      <c r="G21" s="59" t="n">
        <f aca="false">IFERROR(C$7/($B21*C$8+$C21*C$9+$D21*C$10+$E21*C$11+$F21*C$12),0)</f>
        <v>0.280441387725606</v>
      </c>
      <c r="H21" s="59" t="n">
        <f aca="false">IFERROR(D$7/($B21*D$8+$C21*D$9+$D21*D$10+$E21*D$11+$F21*D$12),0)</f>
        <v>0.153174371490169</v>
      </c>
      <c r="I21" s="59" t="n">
        <f aca="false">IFERROR(E$7/($B21*E$8+$C21*E$9+$D21*E$10+$E21*E$11+$F21*E$12),0)</f>
        <v>0.512256459477666</v>
      </c>
      <c r="J21" s="59" t="n">
        <f aca="false">IFERROR(F$7/($B21*F$8+$C21*F$9+$D21*F$10+$E21*F$11+$F21*F$12),0)</f>
        <v>0.195998898021648</v>
      </c>
      <c r="K21" s="59" t="n">
        <f aca="false">IFERROR(G$7/($B21*G$8+$C21*G$9+$D21*G$10+$E21*G$11+$F21*G$12),0)</f>
        <v>0.0963780440663967</v>
      </c>
      <c r="L21" s="59" t="n">
        <f aca="false">IFERROR(H$7/($B21*H$8+$C21*H$9+$D21*H$10+$E21*H$11+$F21*H$12),0)</f>
        <v>0.185703352578568</v>
      </c>
      <c r="M21" s="59" t="n">
        <f aca="false">IFERROR(I$7/($B21*I$8+$C21*I$9+$D21*I$10+$E21*I$11+$F21*I$12),0)</f>
        <v>0.0414069653613164</v>
      </c>
      <c r="N21" s="59" t="n">
        <f aca="false">IFERROR(J$7/($B21*J$8+$C21*J$9+$D21*J$10+$E21*J$11+$F21*J$12),0)</f>
        <v>0.0465630862281254</v>
      </c>
      <c r="O21" s="59" t="n">
        <f aca="false">IFERROR(K$7/($B21*K$8+$C21*K$9+$D21*K$10+$E21*K$11+$F21*K$12),0)</f>
        <v>0.0120604437919034</v>
      </c>
      <c r="P21" s="59" t="n">
        <f aca="false">IFERROR(L$7/($B21*L$8+$C21*L$9+$D21*L$10+$E21*L$11+$F21*L$12),0)</f>
        <v>0.0505714492568072</v>
      </c>
      <c r="Q21" s="59" t="n">
        <f aca="false">IFERROR(M$7/($B21*M$8+$C21*M$9+$D21*M$10+$E21*M$11+$F21*M$12),0)</f>
        <v>0.0357063666014095</v>
      </c>
      <c r="R21" s="59" t="n">
        <f aca="false">IFERROR(N$7/($B21*N$8+$C21*N$9+$D21*N$10+$E21*N$11+$F21*N$12),0)</f>
        <v>0.0167056881480026</v>
      </c>
      <c r="S21" s="59" t="n">
        <f aca="false">B21*SUMPRODUCT($C$8:$N$8,$G21:$R21)</f>
        <v>0.250439945699591</v>
      </c>
      <c r="T21" s="59" t="n">
        <f aca="false">C21*SUMPRODUCT($C$9:$N$9,$G21:$R21)</f>
        <v>0.299565208168977</v>
      </c>
      <c r="U21" s="59" t="n">
        <f aca="false">D21*SUMPRODUCT($C$10:$N$10,$G21:$R21)</f>
        <v>0.0999677597559411</v>
      </c>
      <c r="V21" s="59" t="n">
        <f aca="false">E21*SUMPRODUCT($C$11:$N$11,$G21:$R21)</f>
        <v>0.199976860679676</v>
      </c>
      <c r="W21" s="59" t="n">
        <f aca="false">F21*SUMPRODUCT($C$12:$N$12,$G21:$R21)</f>
        <v>0.150050225695814</v>
      </c>
      <c r="X21" s="60" t="n">
        <f aca="false">ABS(S21-$B$8)+ABS(T21-$B$9)+ABS(U21-$B$10)+ABS(V21-$B$11)+ABS(W21-$B$12)</f>
        <v>0.000980342790810357</v>
      </c>
    </row>
    <row r="22" customFormat="false" ht="15" hidden="false" customHeight="false" outlineLevel="0" collapsed="false">
      <c r="A22" s="41" t="n">
        <v>5</v>
      </c>
      <c r="B22" s="59" t="n">
        <f aca="false">IFERROR(B21*$B$8/S21,0)</f>
        <v>0.155254351457107</v>
      </c>
      <c r="C22" s="59" t="n">
        <f aca="false">IFERROR(C21*$B$9/T21,0)</f>
        <v>0.453177609637004</v>
      </c>
      <c r="D22" s="59" t="n">
        <f aca="false">IFERROR(D21*$B$10/U21,0)</f>
        <v>0.0980026898293031</v>
      </c>
      <c r="E22" s="59" t="n">
        <f aca="false">IFERROR(E21*$B$11/V21,0)</f>
        <v>0.198753504396383</v>
      </c>
      <c r="F22" s="59" t="n">
        <f aca="false">IFERROR(F21*$B$12/W21,0)</f>
        <v>0.193656759721257</v>
      </c>
      <c r="G22" s="59" t="n">
        <f aca="false">IFERROR(C$7/($B22*C$8+$C22*C$9+$D22*C$10+$E22*C$11+$F22*C$12),0)</f>
        <v>0.280346109205242</v>
      </c>
      <c r="H22" s="59" t="n">
        <f aca="false">IFERROR(D$7/($B22*D$8+$C22*D$9+$D22*D$10+$E22*D$11+$F22*D$12),0)</f>
        <v>0.153241619360544</v>
      </c>
      <c r="I22" s="59" t="n">
        <f aca="false">IFERROR(E$7/($B22*E$8+$C22*E$9+$D22*E$10+$E22*E$11+$F22*E$12),0)</f>
        <v>0.513157919583406</v>
      </c>
      <c r="J22" s="59" t="n">
        <f aca="false">IFERROR(F$7/($B22*F$8+$C22*F$9+$D22*F$10+$E22*F$11+$F22*F$12),0)</f>
        <v>0.195904021675306</v>
      </c>
      <c r="K22" s="59" t="n">
        <f aca="false">IFERROR(G$7/($B22*G$8+$C22*G$9+$D22*G$10+$E22*G$11+$F22*G$12),0)</f>
        <v>0.0963214021713947</v>
      </c>
      <c r="L22" s="59" t="n">
        <f aca="false">IFERROR(H$7/($B22*H$8+$C22*H$9+$D22*H$10+$E22*H$11+$F22*H$12),0)</f>
        <v>0.185784881589336</v>
      </c>
      <c r="M22" s="59" t="n">
        <f aca="false">IFERROR(I$7/($B22*I$8+$C22*I$9+$D22*I$10+$E22*I$11+$F22*I$12),0)</f>
        <v>0.0413928975576145</v>
      </c>
      <c r="N22" s="59" t="n">
        <f aca="false">IFERROR(J$7/($B22*J$8+$C22*J$9+$D22*J$10+$E22*J$11+$F22*J$12),0)</f>
        <v>0.0465898732077525</v>
      </c>
      <c r="O22" s="59" t="n">
        <f aca="false">IFERROR(K$7/($B22*K$8+$C22*K$9+$D22*K$10+$E22*K$11+$F22*K$12),0)</f>
        <v>0.0120528404197343</v>
      </c>
      <c r="P22" s="59" t="n">
        <f aca="false">IFERROR(L$7/($B22*L$8+$C22*L$9+$D22*L$10+$E22*L$11+$F22*L$12),0)</f>
        <v>0.0505936515497316</v>
      </c>
      <c r="Q22" s="59" t="n">
        <f aca="false">IFERROR(M$7/($B22*M$8+$C22*M$9+$D22*M$10+$E22*M$11+$F22*M$12),0)</f>
        <v>0.0356883815290677</v>
      </c>
      <c r="R22" s="59" t="n">
        <f aca="false">IFERROR(N$7/($B22*N$8+$C22*N$9+$D22*N$10+$E22*N$11+$F22*N$12),0)</f>
        <v>0.0167060373852676</v>
      </c>
      <c r="S22" s="59" t="n">
        <f aca="false">B22*SUMPRODUCT($C$8:$N$8,$G22:$R22)</f>
        <v>0.250126186583735</v>
      </c>
      <c r="T22" s="59" t="n">
        <f aca="false">C22*SUMPRODUCT($C$9:$N$9,$G22:$R22)</f>
        <v>0.299870185909691</v>
      </c>
      <c r="U22" s="59" t="n">
        <f aca="false">D22*SUMPRODUCT($C$10:$N$10,$G22:$R22)</f>
        <v>0.0999912252160635</v>
      </c>
      <c r="V22" s="59" t="n">
        <f aca="false">E22*SUMPRODUCT($C$11:$N$11,$G22:$R22)</f>
        <v>0.199995211560653</v>
      </c>
      <c r="W22" s="59" t="n">
        <f aca="false">F22*SUMPRODUCT($C$12:$N$12,$G22:$R22)</f>
        <v>0.150017190729858</v>
      </c>
      <c r="X22" s="60" t="n">
        <f aca="false">ABS(S22-$B$8)+ABS(T22-$B$9)+ABS(U22-$B$10)+ABS(V22-$B$11)+ABS(W22-$B$12)</f>
        <v>0.000286754627186039</v>
      </c>
    </row>
    <row r="23" customFormat="false" ht="15" hidden="false" customHeight="false" outlineLevel="0" collapsed="false">
      <c r="A23" s="41" t="n">
        <v>6</v>
      </c>
      <c r="B23" s="59" t="n">
        <f aca="false">IFERROR(B22*$B$8/S22,0)</f>
        <v>0.155176026926246</v>
      </c>
      <c r="C23" s="59" t="n">
        <f aca="false">IFERROR(C22*$B$9/T22,0)</f>
        <v>0.453373790657684</v>
      </c>
      <c r="D23" s="59" t="n">
        <f aca="false">IFERROR(D22*$B$10/U22,0)</f>
        <v>0.0980112901082435</v>
      </c>
      <c r="E23" s="59" t="n">
        <f aca="false">IFERROR(E22*$B$11/V22,0)</f>
        <v>0.198758263105822</v>
      </c>
      <c r="F23" s="59" t="n">
        <f aca="false">IFERROR(F22*$B$12/W22,0)</f>
        <v>0.193634568257563</v>
      </c>
      <c r="G23" s="59" t="n">
        <f aca="false">IFERROR(C$7/($B23*C$8+$C23*C$9+$D23*C$10+$E23*C$11+$F23*C$12),0)</f>
        <v>0.280318296885553</v>
      </c>
      <c r="H23" s="59" t="n">
        <f aca="false">IFERROR(D$7/($B23*D$8+$C23*D$9+$D23*D$10+$E23*D$11+$F23*D$12),0)</f>
        <v>0.153262307854139</v>
      </c>
      <c r="I23" s="59" t="n">
        <f aca="false">IFERROR(E$7/($B23*E$8+$C23*E$9+$D23*E$10+$E23*E$11+$F23*E$12),0)</f>
        <v>0.513416934162561</v>
      </c>
      <c r="J23" s="59" t="n">
        <f aca="false">IFERROR(F$7/($B23*F$8+$C23*F$9+$D23*F$10+$E23*F$11+$F23*F$12),0)</f>
        <v>0.195875627673461</v>
      </c>
      <c r="K23" s="59" t="n">
        <f aca="false">IFERROR(G$7/($B23*G$8+$C23*G$9+$D23*G$10+$E23*G$11+$F23*G$12),0)</f>
        <v>0.0963041630491894</v>
      </c>
      <c r="L23" s="59" t="n">
        <f aca="false">IFERROR(H$7/($B23*H$8+$C23*H$9+$D23*H$10+$E23*H$11+$F23*H$12),0)</f>
        <v>0.185809963609147</v>
      </c>
      <c r="M23" s="59" t="n">
        <f aca="false">IFERROR(I$7/($B23*I$8+$C23*I$9+$D23*I$10+$E23*I$11+$F23*I$12),0)</f>
        <v>0.0413887910889962</v>
      </c>
      <c r="N23" s="59" t="n">
        <f aca="false">IFERROR(J$7/($B23*J$8+$C23*J$9+$D23*J$10+$E23*J$11+$F23*J$12),0)</f>
        <v>0.046598020712317</v>
      </c>
      <c r="O23" s="59" t="n">
        <f aca="false">IFERROR(K$7/($B23*K$8+$C23*K$9+$D23*K$10+$E23*K$11+$F23*K$12),0)</f>
        <v>0.0120505061729345</v>
      </c>
      <c r="P23" s="59" t="n">
        <f aca="false">IFERROR(L$7/($B23*L$8+$C23*L$9+$D23*L$10+$E23*L$11+$F23*L$12),0)</f>
        <v>0.0506004819815712</v>
      </c>
      <c r="Q23" s="59" t="n">
        <f aca="false">IFERROR(M$7/($B23*M$8+$C23*M$9+$D23*M$10+$E23*M$11+$F23*M$12),0)</f>
        <v>0.0356829611225128</v>
      </c>
      <c r="R23" s="59" t="n">
        <f aca="false">IFERROR(N$7/($B23*N$8+$C23*N$9+$D23*N$10+$E23*N$11+$F23*N$12),0)</f>
        <v>0.0167063382711214</v>
      </c>
      <c r="S23" s="59" t="n">
        <f aca="false">B23*SUMPRODUCT($C$8:$N$8,$G23:$R23)</f>
        <v>0.250036382022455</v>
      </c>
      <c r="T23" s="59" t="n">
        <f aca="false">C23*SUMPRODUCT($C$9:$N$9,$G23:$R23)</f>
        <v>0.299961324238935</v>
      </c>
      <c r="U23" s="59" t="n">
        <f aca="false">D23*SUMPRODUCT($C$10:$N$10,$G23:$R23)</f>
        <v>0.0999975840137347</v>
      </c>
      <c r="V23" s="59" t="n">
        <f aca="false">E23*SUMPRODUCT($C$11:$N$11,$G23:$R23)</f>
        <v>0.199999069043915</v>
      </c>
      <c r="W23" s="59" t="n">
        <f aca="false">F23*SUMPRODUCT($C$12:$N$12,$G23:$R23)</f>
        <v>0.150005640680961</v>
      </c>
      <c r="X23" s="60" t="n">
        <f aca="false">ABS(S23-$B$8)+ABS(T23-$B$9)+ABS(U23-$B$10)+ABS(V23-$B$11)+ABS(W23-$B$12)</f>
        <v>8.40454068312541E-005</v>
      </c>
    </row>
    <row r="24" customFormat="false" ht="15" hidden="false" customHeight="false" outlineLevel="0" collapsed="false">
      <c r="A24" s="41" t="n">
        <v>7</v>
      </c>
      <c r="B24" s="59" t="n">
        <f aca="false">IFERROR(B23*$B$8/S23,0)</f>
        <v>0.155153447741367</v>
      </c>
      <c r="C24" s="59" t="n">
        <f aca="false">IFERROR(C23*$B$9/T23,0)</f>
        <v>0.453432246781803</v>
      </c>
      <c r="D24" s="59" t="n">
        <f aca="false">IFERROR(D23*$B$10/U23,0)</f>
        <v>0.0980136581047615</v>
      </c>
      <c r="E24" s="59" t="n">
        <f aca="false">IFERROR(E23*$B$11/V23,0)</f>
        <v>0.198759188286201</v>
      </c>
      <c r="F24" s="59" t="n">
        <f aca="false">IFERROR(F23*$B$12/W23,0)</f>
        <v>0.193627286992555</v>
      </c>
      <c r="G24" s="59" t="n">
        <f aca="false">IFERROR(C$7/($B24*C$8+$C24*C$9+$D24*C$10+$E24*C$11+$F24*C$12),0)</f>
        <v>0.280310162996825</v>
      </c>
      <c r="H24" s="59" t="n">
        <f aca="false">IFERROR(D$7/($B24*D$8+$C24*D$9+$D24*D$10+$E24*D$11+$F24*D$12),0)</f>
        <v>0.153268615249359</v>
      </c>
      <c r="I24" s="59" t="n">
        <f aca="false">IFERROR(E$7/($B24*E$8+$C24*E$9+$D24*E$10+$E24*E$11+$F24*E$12),0)</f>
        <v>0.51349165074827</v>
      </c>
      <c r="J24" s="59" t="n">
        <f aca="false">IFERROR(F$7/($B24*F$8+$C24*F$9+$D24*F$10+$E24*F$11+$F24*F$12),0)</f>
        <v>0.195867153162273</v>
      </c>
      <c r="K24" s="59" t="n">
        <f aca="false">IFERROR(G$7/($B24*G$8+$C24*G$9+$D24*G$10+$E24*G$11+$F24*G$12),0)</f>
        <v>0.0962989505528641</v>
      </c>
      <c r="L24" s="59" t="n">
        <f aca="false">IFERROR(H$7/($B24*H$8+$C24*H$9+$D24*H$10+$E24*H$11+$F24*H$12),0)</f>
        <v>0.185817610478705</v>
      </c>
      <c r="M24" s="59" t="n">
        <f aca="false">IFERROR(I$7/($B24*I$8+$C24*I$9+$D24*I$10+$E24*I$11+$F24*I$12),0)</f>
        <v>0.0413875901262868</v>
      </c>
      <c r="N24" s="59" t="n">
        <f aca="false">IFERROR(J$7/($B24*J$8+$C24*J$9+$D24*J$10+$E24*J$11+$F24*J$12),0)</f>
        <v>0.0466004832291695</v>
      </c>
      <c r="O24" s="59" t="n">
        <f aca="false">IFERROR(K$7/($B24*K$8+$C24*K$9+$D24*K$10+$E24*K$11+$F24*K$12),0)</f>
        <v>0.0120497957795065</v>
      </c>
      <c r="P24" s="59" t="n">
        <f aca="false">IFERROR(L$7/($B24*L$8+$C24*L$9+$D24*L$10+$E24*L$11+$F24*L$12),0)</f>
        <v>0.0506025644064194</v>
      </c>
      <c r="Q24" s="59" t="n">
        <f aca="false">IFERROR(M$7/($B24*M$8+$C24*M$9+$D24*M$10+$E24*M$11+$F24*M$12),0)</f>
        <v>0.03568133454553</v>
      </c>
      <c r="R24" s="59" t="n">
        <f aca="false">IFERROR(N$7/($B24*N$8+$C24*N$9+$D24*N$10+$E24*N$11+$F24*N$12),0)</f>
        <v>0.0167064741323182</v>
      </c>
      <c r="S24" s="59" t="n">
        <f aca="false">B24*SUMPRODUCT($C$8:$N$8,$G24:$R24)</f>
        <v>0.250010528241736</v>
      </c>
      <c r="T24" s="59" t="n">
        <f aca="false">C24*SUMPRODUCT($C$9:$N$9,$G24:$R24)</f>
        <v>0.299988501489026</v>
      </c>
      <c r="U24" s="59" t="n">
        <f aca="false">D24*SUMPRODUCT($C$10:$N$10,$G24:$R24)</f>
        <v>0.0999993286742548</v>
      </c>
      <c r="V24" s="59" t="n">
        <f aca="false">E24*SUMPRODUCT($C$11:$N$11,$G24:$R24)</f>
        <v>0.199999840819345</v>
      </c>
      <c r="W24" s="59" t="n">
        <f aca="false">F24*SUMPRODUCT($C$12:$N$12,$G24:$R24)</f>
        <v>0.150001800775639</v>
      </c>
      <c r="X24" s="60" t="n">
        <f aca="false">ABS(S24-$B$8)+ABS(T24-$B$9)+ABS(U24-$B$10)+ABS(V24-$B$11)+ABS(W24-$B$12)</f>
        <v>2.46580347483538E-005</v>
      </c>
    </row>
    <row r="25" customFormat="false" ht="15" hidden="false" customHeight="false" outlineLevel="0" collapsed="false">
      <c r="A25" s="41" t="n">
        <v>8</v>
      </c>
      <c r="B25" s="59" t="n">
        <f aca="false">IFERROR(B24*$B$8/S24,0)</f>
        <v>0.155146914044505</v>
      </c>
      <c r="C25" s="59" t="n">
        <f aca="false">IFERROR(C24*$B$9/T24,0)</f>
        <v>0.453449626766834</v>
      </c>
      <c r="D25" s="59" t="n">
        <f aca="false">IFERROR(D24*$B$10/U24,0)</f>
        <v>0.0980143161000994</v>
      </c>
      <c r="E25" s="59" t="n">
        <f aca="false">IFERROR(E24*$B$11/V24,0)</f>
        <v>0.198759346479416</v>
      </c>
      <c r="F25" s="59" t="n">
        <f aca="false">IFERROR(F24*$B$12/W24,0)</f>
        <v>0.193624962491786</v>
      </c>
      <c r="G25" s="59" t="n">
        <f aca="false">IFERROR(C$7/($B25*C$8+$C25*C$9+$D25*C$10+$E25*C$11+$F25*C$12),0)</f>
        <v>0.280307781248804</v>
      </c>
      <c r="H25" s="59" t="n">
        <f aca="false">IFERROR(D$7/($B25*D$8+$C25*D$9+$D25*D$10+$E25*D$11+$F25*D$12),0)</f>
        <v>0.153270524622936</v>
      </c>
      <c r="I25" s="59" t="n">
        <f aca="false">IFERROR(E$7/($B25*E$8+$C25*E$9+$D25*E$10+$E25*E$11+$F25*E$12),0)</f>
        <v>0.513513275405183</v>
      </c>
      <c r="J25" s="59" t="n">
        <f aca="false">IFERROR(F$7/($B25*F$8+$C25*F$9+$D25*F$10+$E25*F$11+$F25*F$12),0)</f>
        <v>0.195864630110259</v>
      </c>
      <c r="K25" s="59" t="n">
        <f aca="false">IFERROR(G$7/($B25*G$8+$C25*G$9+$D25*G$10+$E25*G$11+$F25*G$12),0)</f>
        <v>0.0962973827161719</v>
      </c>
      <c r="L25" s="59" t="n">
        <f aca="false">IFERROR(H$7/($B25*H$8+$C25*H$9+$D25*H$10+$E25*H$11+$F25*H$12),0)</f>
        <v>0.18581992533772</v>
      </c>
      <c r="M25" s="59" t="n">
        <f aca="false">IFERROR(I$7/($B25*I$8+$C25*I$9+$D25*I$10+$E25*I$11+$F25*I$12),0)</f>
        <v>0.0413872384629371</v>
      </c>
      <c r="N25" s="59" t="n">
        <f aca="false">IFERROR(J$7/($B25*J$8+$C25*J$9+$D25*J$10+$E25*J$11+$F25*J$12),0)</f>
        <v>0.0466012236881477</v>
      </c>
      <c r="O25" s="59" t="n">
        <f aca="false">IFERROR(K$7/($B25*K$8+$C25*K$9+$D25*K$10+$E25*K$11+$F25*K$12),0)</f>
        <v>0.0120495810304098</v>
      </c>
      <c r="P25" s="59" t="n">
        <f aca="false">IFERROR(L$7/($B25*L$8+$C25*L$9+$D25*L$10+$E25*L$11+$F25*L$12),0)</f>
        <v>0.0506031947977051</v>
      </c>
      <c r="Q25" s="59" t="n">
        <f aca="false">IFERROR(M$7/($B25*M$8+$C25*M$9+$D25*M$10+$E25*M$11+$F25*M$12),0)</f>
        <v>0.0356808481991888</v>
      </c>
      <c r="R25" s="59" t="n">
        <f aca="false">IFERROR(N$7/($B25*N$8+$C25*N$9+$D25*N$10+$E25*N$11+$F25*N$12),0)</f>
        <v>0.0167065255161879</v>
      </c>
      <c r="S25" s="59" t="n">
        <f aca="false">B25*SUMPRODUCT($C$8:$N$8,$G25:$R25)</f>
        <v>0.250003055516735</v>
      </c>
      <c r="T25" s="59" t="n">
        <f aca="false">C25*SUMPRODUCT($C$9:$N$9,$G25:$R25)</f>
        <v>0.299996587612213</v>
      </c>
      <c r="U25" s="59" t="n">
        <f aca="false">D25*SUMPRODUCT($C$10:$N$10,$G25:$R25)</f>
        <v>0.0999998119798893</v>
      </c>
      <c r="V25" s="59" t="n">
        <f aca="false">E25*SUMPRODUCT($C$11:$N$11,$G25:$R25)</f>
        <v>0.199999980850928</v>
      </c>
      <c r="W25" s="59" t="n">
        <f aca="false">F25*SUMPRODUCT($C$12:$N$12,$G25:$R25)</f>
        <v>0.150000564040234</v>
      </c>
      <c r="X25" s="60" t="n">
        <f aca="false">ABS(S25-$B$8)+ABS(T25-$B$9)+ABS(U25-$B$10)+ABS(V25-$B$11)+ABS(W25-$B$12)</f>
        <v>7.23911393844812E-006</v>
      </c>
    </row>
    <row r="26" customFormat="false" ht="15" hidden="false" customHeight="false" outlineLevel="0" collapsed="false">
      <c r="A26" s="41" t="n">
        <v>9</v>
      </c>
      <c r="B26" s="59" t="n">
        <f aca="false">IFERROR(B25*$B$8/S25,0)</f>
        <v>0.155145017851711</v>
      </c>
      <c r="C26" s="59" t="n">
        <f aca="false">IFERROR(C25*$B$9/T25,0)</f>
        <v>0.453454784645398</v>
      </c>
      <c r="D26" s="59" t="n">
        <f aca="false">IFERROR(D25*$B$10/U25,0)</f>
        <v>0.0980145003870716</v>
      </c>
      <c r="E26" s="59" t="n">
        <f aca="false">IFERROR(E25*$B$11/V25,0)</f>
        <v>0.198759365509703</v>
      </c>
      <c r="F26" s="59" t="n">
        <f aca="false">IFERROR(F25*$B$12/W25,0)</f>
        <v>0.193624234412729</v>
      </c>
      <c r="G26" s="59" t="n">
        <f aca="false">IFERROR(C$7/($B26*C$8+$C26*C$9+$D26*C$10+$E26*C$11+$F26*C$12),0)</f>
        <v>0.28030708317551</v>
      </c>
      <c r="H26" s="59" t="n">
        <f aca="false">IFERROR(D$7/($B26*D$8+$C26*D$9+$D26*D$10+$E26*D$11+$F26*D$12),0)</f>
        <v>0.153271099427268</v>
      </c>
      <c r="I26" s="59" t="n">
        <f aca="false">IFERROR(E$7/($B26*E$8+$C26*E$9+$D26*E$10+$E26*E$11+$F26*E$12),0)</f>
        <v>0.513519551598811</v>
      </c>
      <c r="J26" s="59" t="n">
        <f aca="false">IFERROR(F$7/($B26*F$8+$C26*F$9+$D26*F$10+$E26*F$11+$F26*F$12),0)</f>
        <v>0.195863880506466</v>
      </c>
      <c r="K26" s="59" t="n">
        <f aca="false">IFERROR(G$7/($B26*G$8+$C26*G$9+$D26*G$10+$E26*G$11+$F26*G$12),0)</f>
        <v>0.0962969130990773</v>
      </c>
      <c r="L26" s="59" t="n">
        <f aca="false">IFERROR(H$7/($B26*H$8+$C26*H$9+$D26*H$10+$E26*H$11+$F26*H$12),0)</f>
        <v>0.185820622210769</v>
      </c>
      <c r="M26" s="59" t="n">
        <f aca="false">IFERROR(I$7/($B26*I$8+$C26*I$9+$D26*I$10+$E26*I$11+$F26*I$12),0)</f>
        <v>0.0413871353929269</v>
      </c>
      <c r="N26" s="59" t="n">
        <f aca="false">IFERROR(J$7/($B26*J$8+$C26*J$9+$D26*J$10+$E26*J$11+$F26*J$12),0)</f>
        <v>0.0466014454253152</v>
      </c>
      <c r="O26" s="59" t="n">
        <f aca="false">IFERROR(K$7/($B26*K$8+$C26*K$9+$D26*K$10+$E26*K$11+$F26*K$12),0)</f>
        <v>0.0120495164527566</v>
      </c>
      <c r="P26" s="59" t="n">
        <f aca="false">IFERROR(L$7/($B26*L$8+$C26*L$9+$D26*L$10+$E26*L$11+$F26*L$12),0)</f>
        <v>0.0506033845728469</v>
      </c>
      <c r="Q26" s="59" t="n">
        <f aca="false">IFERROR(M$7/($B26*M$8+$C26*M$9+$D26*M$10+$E26*M$11+$F26*M$12),0)</f>
        <v>0.0356807032095284</v>
      </c>
      <c r="R26" s="59" t="n">
        <f aca="false">IFERROR(N$7/($B26*N$8+$C26*N$9+$D26*N$10+$E26*N$11+$F26*N$12),0)</f>
        <v>0.0167065433933908</v>
      </c>
      <c r="S26" s="59" t="n">
        <f aca="false">B26*SUMPRODUCT($C$8:$N$8,$G26:$R26)</f>
        <v>0.250000888895904</v>
      </c>
      <c r="T26" s="59" t="n">
        <f aca="false">C26*SUMPRODUCT($C$9:$N$9,$G26:$R26)</f>
        <v>0.299998988826889</v>
      </c>
      <c r="U26" s="59" t="n">
        <f aca="false">D26*SUMPRODUCT($C$10:$N$10,$G26:$R26)</f>
        <v>0.0999999469707771</v>
      </c>
      <c r="V26" s="59" t="n">
        <f aca="false">E26*SUMPRODUCT($C$11:$N$11,$G26:$R26)</f>
        <v>0.200000001059414</v>
      </c>
      <c r="W26" s="59" t="n">
        <f aca="false">F26*SUMPRODUCT($C$12:$N$12,$G26:$R26)</f>
        <v>0.150000174247016</v>
      </c>
      <c r="X26" s="60" t="n">
        <f aca="false">ABS(S26-$B$8)+ABS(T26-$B$9)+ABS(U26-$B$10)+ABS(V26-$B$11)+ABS(W26-$B$12)</f>
        <v>2.12840466744246E-006</v>
      </c>
    </row>
    <row r="27" customFormat="false" ht="15" hidden="false" customHeight="false" outlineLevel="0" collapsed="false">
      <c r="A27" s="41" t="n">
        <v>10</v>
      </c>
      <c r="B27" s="59" t="n">
        <f aca="false">IFERROR(B26*$B$8/S26,0)</f>
        <v>0.155144466222589</v>
      </c>
      <c r="C27" s="59" t="n">
        <f aca="false">IFERROR(C26*$B$9/T26,0)</f>
        <v>0.453456313054834</v>
      </c>
      <c r="D27" s="59" t="n">
        <f aca="false">IFERROR(D26*$B$10/U26,0)</f>
        <v>0.0980145523634271</v>
      </c>
      <c r="E27" s="59" t="n">
        <f aca="false">IFERROR(E26*$B$11/V26,0)</f>
        <v>0.19875936445686</v>
      </c>
      <c r="F27" s="59" t="n">
        <f aca="false">IFERROR(F26*$B$12/W26,0)</f>
        <v>0.193624009490023</v>
      </c>
      <c r="G27" s="59" t="n">
        <f aca="false">IFERROR(C$7/($B27*C$8+$C27*C$9+$D27*C$10+$E27*C$11+$F27*C$12),0)</f>
        <v>0.280306878420733</v>
      </c>
      <c r="H27" s="59" t="n">
        <f aca="false">IFERROR(D$7/($B27*D$8+$C27*D$9+$D27*D$10+$E27*D$11+$F27*D$12),0)</f>
        <v>0.153271271713164</v>
      </c>
      <c r="I27" s="59" t="n">
        <f aca="false">IFERROR(E$7/($B27*E$8+$C27*E$9+$D27*E$10+$E27*E$11+$F27*E$12),0)</f>
        <v>0.513521377460514</v>
      </c>
      <c r="J27" s="59" t="n">
        <f aca="false">IFERROR(F$7/($B27*F$8+$C27*F$9+$D27*F$10+$E27*F$11+$F27*F$12),0)</f>
        <v>0.195863658178561</v>
      </c>
      <c r="K27" s="59" t="n">
        <f aca="false">IFERROR(G$7/($B27*G$8+$C27*G$9+$D27*G$10+$E27*G$11+$F27*G$12),0)</f>
        <v>0.0962967729010273</v>
      </c>
      <c r="L27" s="59" t="n">
        <f aca="false">IFERROR(H$7/($B27*H$8+$C27*H$9+$D27*H$10+$E27*H$11+$F27*H$12),0)</f>
        <v>0.185820831084279</v>
      </c>
      <c r="M27" s="59" t="n">
        <f aca="false">IFERROR(I$7/($B27*I$8+$C27*I$9+$D27*I$10+$E27*I$11+$F27*I$12),0)</f>
        <v>0.0413871051610342</v>
      </c>
      <c r="N27" s="59" t="n">
        <f aca="false">IFERROR(J$7/($B27*J$8+$C27*J$9+$D27*J$10+$E27*J$11+$F27*J$12),0)</f>
        <v>0.0466015116091673</v>
      </c>
      <c r="O27" s="59" t="n">
        <f aca="false">IFERROR(K$7/($B27*K$8+$C27*K$9+$D27*K$10+$E27*K$11+$F27*K$12),0)</f>
        <v>0.0120494971137566</v>
      </c>
      <c r="P27" s="59" t="n">
        <f aca="false">IFERROR(L$7/($B27*L$8+$C27*L$9+$D27*L$10+$E27*L$11+$F27*L$12),0)</f>
        <v>0.0506034414540821</v>
      </c>
      <c r="Q27" s="59" t="n">
        <f aca="false">IFERROR(M$7/($B27*M$8+$C27*M$9+$D27*M$10+$E27*M$11+$F27*M$12),0)</f>
        <v>0.0356806600879518</v>
      </c>
      <c r="R27" s="59" t="n">
        <f aca="false">IFERROR(N$7/($B27*N$8+$C27*N$9+$D27*N$10+$E27*N$11+$F27*N$12),0)</f>
        <v>0.0167065493210771</v>
      </c>
      <c r="S27" s="59" t="n">
        <f aca="false">B27*SUMPRODUCT($C$8:$N$8,$G27:$R27)</f>
        <v>0.250000259108789</v>
      </c>
      <c r="T27" s="59" t="n">
        <f aca="false">C27*SUMPRODUCT($C$9:$N$9,$G27:$R27)</f>
        <v>0.299999700730986</v>
      </c>
      <c r="U27" s="59" t="n">
        <f aca="false">D27*SUMPRODUCT($C$10:$N$10,$G27:$R27)</f>
        <v>0.0999999849504244</v>
      </c>
      <c r="V27" s="59" t="n">
        <f aca="false">E27*SUMPRODUCT($C$11:$N$11,$G27:$R27)</f>
        <v>0.200000001931152</v>
      </c>
      <c r="W27" s="59" t="n">
        <f aca="false">F27*SUMPRODUCT($C$12:$N$12,$G27:$R27)</f>
        <v>0.150000053278649</v>
      </c>
      <c r="X27" s="60" t="n">
        <f aca="false">ABS(S27-$B$8)+ABS(T27-$B$9)+ABS(U27-$B$10)+ABS(V27-$B$11)+ABS(W27-$B$12)</f>
        <v>6.28637180061231E-007</v>
      </c>
    </row>
    <row r="28" customFormat="false" ht="15" hidden="false" customHeight="false" outlineLevel="0" collapsed="false">
      <c r="A28" s="41" t="n">
        <v>11</v>
      </c>
      <c r="B28" s="59" t="n">
        <f aca="false">IFERROR(B27*$B$8/S27,0)</f>
        <v>0.155144305425576</v>
      </c>
      <c r="C28" s="59" t="n">
        <f aca="false">IFERROR(C27*$B$9/T27,0)</f>
        <v>0.453456765406698</v>
      </c>
      <c r="D28" s="59" t="n">
        <f aca="false">IFERROR(D27*$B$10/U27,0)</f>
        <v>0.0980145671142034</v>
      </c>
      <c r="E28" s="59" t="n">
        <f aca="false">IFERROR(E27*$B$11/V27,0)</f>
        <v>0.198759362537688</v>
      </c>
      <c r="F28" s="59" t="n">
        <f aca="false">IFERROR(F27*$B$12/W27,0)</f>
        <v>0.193623940716543</v>
      </c>
      <c r="G28" s="59" t="n">
        <f aca="false">IFERROR(C$7/($B28*C$8+$C28*C$9+$D28*C$10+$E28*C$11+$F28*C$12),0)</f>
        <v>0.280306818326101</v>
      </c>
      <c r="H28" s="59" t="n">
        <f aca="false">IFERROR(D$7/($B28*D$8+$C28*D$9+$D28*D$10+$E28*D$11+$F28*D$12),0)</f>
        <v>0.153271323173543</v>
      </c>
      <c r="I28" s="59" t="n">
        <f aca="false">IFERROR(E$7/($B28*E$8+$C28*E$9+$D28*E$10+$E28*E$11+$F28*E$12),0)</f>
        <v>0.513521909692123</v>
      </c>
      <c r="J28" s="59" t="n">
        <f aca="false">IFERROR(F$7/($B28*F$8+$C28*F$9+$D28*F$10+$E28*F$11+$F28*F$12),0)</f>
        <v>0.195863592329333</v>
      </c>
      <c r="K28" s="59" t="n">
        <f aca="false">IFERROR(G$7/($B28*G$8+$C28*G$9+$D28*G$10+$E28*G$11+$F28*G$12),0)</f>
        <v>0.0962967311580458</v>
      </c>
      <c r="L28" s="59" t="n">
        <f aca="false">IFERROR(H$7/($B28*H$8+$C28*H$9+$D28*H$10+$E28*H$11+$F28*H$12),0)</f>
        <v>0.185820893473077</v>
      </c>
      <c r="M28" s="59" t="n">
        <f aca="false">IFERROR(I$7/($B28*I$8+$C28*I$9+$D28*I$10+$E28*I$11+$F28*I$12),0)</f>
        <v>0.0413870962881057</v>
      </c>
      <c r="N28" s="59" t="n">
        <f aca="false">IFERROR(J$7/($B28*J$8+$C28*J$9+$D28*J$10+$E28*J$11+$F28*J$12),0)</f>
        <v>0.0466015313118602</v>
      </c>
      <c r="O28" s="59" t="n">
        <f aca="false">IFERROR(K$7/($B28*K$8+$C28*K$9+$D28*K$10+$E28*K$11+$F28*K$12),0)</f>
        <v>0.0120494913413558</v>
      </c>
      <c r="P28" s="59" t="n">
        <f aca="false">IFERROR(L$7/($B28*L$8+$C28*L$9+$D28*L$10+$E28*L$11+$F28*L$12),0)</f>
        <v>0.0506034584440389</v>
      </c>
      <c r="Q28" s="59" t="n">
        <f aca="false">IFERROR(M$7/($B28*M$8+$C28*M$9+$D28*M$10+$E28*M$11+$F28*M$12),0)</f>
        <v>0.0356806472877305</v>
      </c>
      <c r="R28" s="59" t="n">
        <f aca="false">IFERROR(N$7/($B28*N$8+$C28*N$9+$D28*N$10+$E28*N$11+$F28*N$12),0)</f>
        <v>0.0167065512268678</v>
      </c>
      <c r="S28" s="59" t="n">
        <f aca="false">B28*SUMPRODUCT($C$8:$N$8,$G28:$R28)</f>
        <v>0.250000075654731</v>
      </c>
      <c r="T28" s="59" t="n">
        <f aca="false">C28*SUMPRODUCT($C$9:$N$9,$G28:$R28)</f>
        <v>0.299999911515896</v>
      </c>
      <c r="U28" s="59" t="n">
        <f aca="false">D28*SUMPRODUCT($C$10:$N$10,$G28:$R28)</f>
        <v>0.0999999957055069</v>
      </c>
      <c r="V28" s="59" t="n">
        <f aca="false">E28*SUMPRODUCT($C$11:$N$11,$G28:$R28)</f>
        <v>0.200000000960128</v>
      </c>
      <c r="W28" s="59" t="n">
        <f aca="false">F28*SUMPRODUCT($C$12:$N$12,$G28:$R28)</f>
        <v>0.150000016163737</v>
      </c>
      <c r="X28" s="60" t="n">
        <f aca="false">ABS(S28-$B$8)+ABS(T28-$B$9)+ABS(U28-$B$10)+ABS(V28-$B$11)+ABS(W28-$B$12)</f>
        <v>1.85557193527197E-007</v>
      </c>
    </row>
    <row r="29" customFormat="false" ht="15" hidden="false" customHeight="false" outlineLevel="0" collapsed="false">
      <c r="A29" s="41" t="n">
        <v>12</v>
      </c>
      <c r="B29" s="59" t="n">
        <f aca="false">IFERROR(B28*$B$8/S28,0)</f>
        <v>0.155144258475988</v>
      </c>
      <c r="C29" s="59" t="n">
        <f aca="false">IFERROR(C28*$B$9/T28,0)</f>
        <v>0.453456899152455</v>
      </c>
      <c r="D29" s="59" t="n">
        <f aca="false">IFERROR(D28*$B$10/U28,0)</f>
        <v>0.0980145713234325</v>
      </c>
      <c r="E29" s="59" t="n">
        <f aca="false">IFERROR(E28*$B$11/V28,0)</f>
        <v>0.198759361583515</v>
      </c>
      <c r="F29" s="59" t="n">
        <f aca="false">IFERROR(F28*$B$12/W28,0)</f>
        <v>0.193623919851969</v>
      </c>
      <c r="G29" s="59" t="n">
        <f aca="false">IFERROR(C$7/($B29*C$8+$C29*C$9+$D29*C$10+$E29*C$11+$F29*C$12),0)</f>
        <v>0.280306800679597</v>
      </c>
      <c r="H29" s="59" t="n">
        <f aca="false">IFERROR(D$7/($B29*D$8+$C29*D$9+$D29*D$10+$E29*D$11+$F29*D$12),0)</f>
        <v>0.153271338501837</v>
      </c>
      <c r="I29" s="59" t="n">
        <f aca="false">IFERROR(E$7/($B29*E$8+$C29*E$9+$D29*E$10+$E29*E$11+$F29*E$12),0)</f>
        <v>0.513522065093571</v>
      </c>
      <c r="J29" s="59" t="n">
        <f aca="false">IFERROR(F$7/($B29*F$8+$C29*F$9+$D29*F$10+$E29*F$11+$F29*F$12),0)</f>
        <v>0.195863572848173</v>
      </c>
      <c r="K29" s="59" t="n">
        <f aca="false">IFERROR(G$7/($B29*G$8+$C29*G$9+$D29*G$10+$E29*G$11+$F29*G$12),0)</f>
        <v>0.096296718755941</v>
      </c>
      <c r="L29" s="59" t="n">
        <f aca="false">IFERROR(H$7/($B29*H$8+$C29*H$9+$D29*H$10+$E29*H$11+$F29*H$12),0)</f>
        <v>0.185820912056575</v>
      </c>
      <c r="M29" s="59" t="n">
        <f aca="false">IFERROR(I$7/($B29*I$8+$C29*I$9+$D29*I$10+$E29*I$11+$F29*I$12),0)</f>
        <v>0.0413870936826124</v>
      </c>
      <c r="N29" s="59" t="n">
        <f aca="false">IFERROR(J$7/($B29*J$8+$C29*J$9+$D29*J$10+$E29*J$11+$F29*J$12),0)</f>
        <v>0.0466015371649169</v>
      </c>
      <c r="O29" s="59" t="n">
        <f aca="false">IFERROR(K$7/($B29*K$8+$C29*K$9+$D29*K$10+$E29*K$11+$F29*K$12),0)</f>
        <v>0.0120494896229074</v>
      </c>
      <c r="P29" s="59" t="n">
        <f aca="false">IFERROR(L$7/($B29*L$8+$C29*L$9+$D29*L$10+$E29*L$11+$F29*L$12),0)</f>
        <v>0.0506034635047685</v>
      </c>
      <c r="Q29" s="59" t="n">
        <f aca="false">IFERROR(M$7/($B29*M$8+$C29*M$9+$D29*M$10+$E29*M$11+$F29*M$12),0)</f>
        <v>0.0356806434940127</v>
      </c>
      <c r="R29" s="59" t="n">
        <f aca="false">IFERROR(N$7/($B29*N$8+$C29*N$9+$D29*N$10+$E29*N$11+$F29*N$12),0)</f>
        <v>0.0167065518267773</v>
      </c>
      <c r="S29" s="59" t="n">
        <f aca="false">B29*SUMPRODUCT($C$8:$N$8,$G29:$R29)</f>
        <v>0.250000022120406</v>
      </c>
      <c r="T29" s="59" t="n">
        <f aca="false">C29*SUMPRODUCT($C$9:$N$9,$G29:$R29)</f>
        <v>0.299999973859376</v>
      </c>
      <c r="U29" s="59" t="n">
        <f aca="false">D29*SUMPRODUCT($C$10:$N$10,$G29:$R29)</f>
        <v>0.0999999987686597</v>
      </c>
      <c r="V29" s="59" t="n">
        <f aca="false">E29*SUMPRODUCT($C$11:$N$11,$G29:$R29)</f>
        <v>0.200000000377367</v>
      </c>
      <c r="W29" s="59" t="n">
        <f aca="false">F29*SUMPRODUCT($C$12:$N$12,$G29:$R29)</f>
        <v>0.15000000487419</v>
      </c>
      <c r="X29" s="60" t="n">
        <f aca="false">ABS(S29-$B$8)+ABS(T29-$B$9)+ABS(U29-$B$10)+ABS(V29-$B$11)+ABS(W29-$B$12)</f>
        <v>5.47439280018658E-008</v>
      </c>
    </row>
    <row r="30" customFormat="false" ht="15" hidden="false" customHeight="false" outlineLevel="0" collapsed="false">
      <c r="A30" s="41" t="n">
        <v>13</v>
      </c>
      <c r="B30" s="59" t="n">
        <f aca="false">IFERROR(B29*$B$8/S29,0)</f>
        <v>0.155144244748573</v>
      </c>
      <c r="C30" s="59" t="n">
        <f aca="false">IFERROR(C29*$B$9/T29,0)</f>
        <v>0.453456938664613</v>
      </c>
      <c r="D30" s="59" t="n">
        <f aca="false">IFERROR(D29*$B$10/U29,0)</f>
        <v>0.0980145725303254</v>
      </c>
      <c r="E30" s="59" t="n">
        <f aca="false">IFERROR(E29*$B$11/V29,0)</f>
        <v>0.198759361208489</v>
      </c>
      <c r="F30" s="59" t="n">
        <f aca="false">IFERROR(F29*$B$12/W29,0)</f>
        <v>0.193623913560237</v>
      </c>
      <c r="G30" s="59" t="n">
        <f aca="false">IFERROR(C$7/($B30*C$8+$C30*C$9+$D30*C$10+$E30*C$11+$F30*C$12),0)</f>
        <v>0.280306795495606</v>
      </c>
      <c r="H30" s="59" t="n">
        <f aca="false">IFERROR(D$7/($B30*D$8+$C30*D$9+$D30*D$10+$E30*D$11+$F30*D$12),0)</f>
        <v>0.153271343057482</v>
      </c>
      <c r="I30" s="59" t="n">
        <f aca="false">IFERROR(E$7/($B30*E$8+$C30*E$9+$D30*E$10+$E30*E$11+$F30*E$12),0)</f>
        <v>0.513522110530838</v>
      </c>
      <c r="J30" s="59" t="n">
        <f aca="false">IFERROR(F$7/($B30*F$8+$C30*F$9+$D30*F$10+$E30*F$11+$F30*F$12),0)</f>
        <v>0.195863567090091</v>
      </c>
      <c r="K30" s="59" t="n">
        <f aca="false">IFERROR(G$7/($B30*G$8+$C30*G$9+$D30*G$10+$E30*G$11+$F30*G$12),0)</f>
        <v>0.0962967150775544</v>
      </c>
      <c r="L30" s="59" t="n">
        <f aca="false">IFERROR(H$7/($B30*H$8+$C30*H$9+$D30*H$10+$E30*H$11+$F30*H$12),0)</f>
        <v>0.185820917579682</v>
      </c>
      <c r="M30" s="59" t="n">
        <f aca="false">IFERROR(I$7/($B30*I$8+$C30*I$9+$D30*I$10+$E30*I$11+$F30*I$12),0)</f>
        <v>0.0413870929171999</v>
      </c>
      <c r="N30" s="59" t="n">
        <f aca="false">IFERROR(J$7/($B30*J$8+$C30*J$9+$D30*J$10+$E30*J$11+$F30*J$12),0)</f>
        <v>0.0466015389007198</v>
      </c>
      <c r="O30" s="59" t="n">
        <f aca="false">IFERROR(K$7/($B30*K$8+$C30*K$9+$D30*K$10+$E30*K$11+$F30*K$12),0)</f>
        <v>0.0120494891124039</v>
      </c>
      <c r="P30" s="59" t="n">
        <f aca="false">IFERROR(L$7/($B30*L$8+$C30*L$9+$D30*L$10+$E30*L$11+$F30*L$12),0)</f>
        <v>0.0506034650088421</v>
      </c>
      <c r="Q30" s="59" t="n">
        <f aca="false">IFERROR(M$7/($B30*M$8+$C30*M$9+$D30*M$10+$E30*M$11+$F30*M$12),0)</f>
        <v>0.0356806423710509</v>
      </c>
      <c r="R30" s="59" t="n">
        <f aca="false">IFERROR(N$7/($B30*N$8+$C30*N$9+$D30*N$10+$E30*N$11+$F30*N$12),0)</f>
        <v>0.0167065520127804</v>
      </c>
      <c r="S30" s="59" t="n">
        <f aca="false">B30*SUMPRODUCT($C$8:$N$8,$G30:$R30)</f>
        <v>0.250000006475187</v>
      </c>
      <c r="T30" s="59" t="n">
        <f aca="false">C30*SUMPRODUCT($C$9:$N$9,$G30:$R30)</f>
        <v>0.299999992282463</v>
      </c>
      <c r="U30" s="59" t="n">
        <f aca="false">D30*SUMPRODUCT($C$10:$N$10,$G30:$R30)</f>
        <v>0.099999999645477</v>
      </c>
      <c r="V30" s="59" t="n">
        <f aca="false">E30*SUMPRODUCT($C$11:$N$11,$G30:$R30)</f>
        <v>0.200000000134</v>
      </c>
      <c r="W30" s="59" t="n">
        <f aca="false">F30*SUMPRODUCT($C$12:$N$12,$G30:$R30)</f>
        <v>0.150000001462873</v>
      </c>
      <c r="X30" s="60" t="n">
        <f aca="false">ABS(S30-$B$8)+ABS(T30-$B$9)+ABS(U30-$B$10)+ABS(V30-$B$11)+ABS(W30-$B$12)</f>
        <v>1.61441192636502E-008</v>
      </c>
    </row>
    <row r="31" customFormat="false" ht="15" hidden="false" customHeight="false" outlineLevel="0" collapsed="false">
      <c r="A31" s="41" t="n">
        <v>14</v>
      </c>
      <c r="B31" s="59" t="n">
        <f aca="false">IFERROR(B30*$B$8/S30,0)</f>
        <v>0.155144240730221</v>
      </c>
      <c r="C31" s="59" t="n">
        <f aca="false">IFERROR(C30*$B$9/T30,0)</f>
        <v>0.453456950329848</v>
      </c>
      <c r="D31" s="59" t="n">
        <f aca="false">IFERROR(D30*$B$10/U30,0)</f>
        <v>0.0980145728778097</v>
      </c>
      <c r="E31" s="59" t="n">
        <f aca="false">IFERROR(E30*$B$11/V30,0)</f>
        <v>0.19875936107532</v>
      </c>
      <c r="F31" s="59" t="n">
        <f aca="false">IFERROR(F30*$B$12/W30,0)</f>
        <v>0.193623911671922</v>
      </c>
      <c r="G31" s="59" t="n">
        <f aca="false">IFERROR(C$7/($B31*C$8+$C31*C$9+$D31*C$10+$E31*C$11+$F31*C$12),0)</f>
        <v>0.280306793972183</v>
      </c>
      <c r="H31" s="59" t="n">
        <f aca="false">IFERROR(D$7/($B31*D$8+$C31*D$9+$D31*D$10+$E31*D$11+$F31*D$12),0)</f>
        <v>0.153271344409019</v>
      </c>
      <c r="I31" s="59" t="n">
        <f aca="false">IFERROR(E$7/($B31*E$8+$C31*E$9+$D31*E$10+$E31*E$11+$F31*E$12),0)</f>
        <v>0.513522123831444</v>
      </c>
      <c r="J31" s="59" t="n">
        <f aca="false">IFERROR(F$7/($B31*F$8+$C31*F$9+$D31*F$10+$E31*F$11+$F31*F$12),0)</f>
        <v>0.195863565389445</v>
      </c>
      <c r="K31" s="59" t="n">
        <f aca="false">IFERROR(G$7/($B31*G$8+$C31*G$9+$D31*G$10+$E31*G$11+$F31*G$12),0)</f>
        <v>0.0962967139880919</v>
      </c>
      <c r="L31" s="59" t="n">
        <f aca="false">IFERROR(H$7/($B31*H$8+$C31*H$9+$D31*H$10+$E31*H$11+$F31*H$12),0)</f>
        <v>0.185820919218239</v>
      </c>
      <c r="M31" s="59" t="n">
        <f aca="false">IFERROR(I$7/($B31*I$8+$C31*I$9+$D31*I$10+$E31*I$11+$F31*I$12),0)</f>
        <v>0.0413870926922677</v>
      </c>
      <c r="N31" s="59" t="n">
        <f aca="false">IFERROR(J$7/($B31*J$8+$C31*J$9+$D31*J$10+$E31*J$11+$F31*J$12),0)</f>
        <v>0.0466015394147864</v>
      </c>
      <c r="O31" s="59" t="n">
        <f aca="false">IFERROR(K$7/($B31*K$8+$C31*K$9+$D31*K$10+$E31*K$11+$F31*K$12),0)</f>
        <v>0.0120494889610059</v>
      </c>
      <c r="P31" s="59" t="n">
        <f aca="false">IFERROR(L$7/($B31*L$8+$C31*L$9+$D31*L$10+$E31*L$11+$F31*L$12),0)</f>
        <v>0.0506034654550604</v>
      </c>
      <c r="Q31" s="59" t="n">
        <f aca="false">IFERROR(M$7/($B31*M$8+$C31*M$9+$D31*M$10+$E31*M$11+$F31*M$12),0)</f>
        <v>0.0356806420389884</v>
      </c>
      <c r="R31" s="59" t="n">
        <f aca="false">IFERROR(N$7/($B31*N$8+$C31*N$9+$D31*N$10+$E31*N$11+$F31*N$12),0)</f>
        <v>0.0167065520698091</v>
      </c>
      <c r="S31" s="59" t="n">
        <f aca="false">B31*SUMPRODUCT($C$8:$N$8,$G31:$R31)</f>
        <v>0.250000001897268</v>
      </c>
      <c r="T31" s="59" t="n">
        <f aca="false">C31*SUMPRODUCT($C$9:$N$9,$G31:$R31)</f>
        <v>0.299999997722774</v>
      </c>
      <c r="U31" s="59" t="n">
        <f aca="false">D31*SUMPRODUCT($C$10:$N$10,$G31:$R31)</f>
        <v>0.0999999998975629</v>
      </c>
      <c r="V31" s="59" t="n">
        <f aca="false">E31*SUMPRODUCT($C$11:$N$11,$G31:$R31)</f>
        <v>0.200000000044988</v>
      </c>
      <c r="W31" s="59" t="n">
        <f aca="false">F31*SUMPRODUCT($C$12:$N$12,$G31:$R31)</f>
        <v>0.150000000437407</v>
      </c>
      <c r="X31" s="60" t="n">
        <f aca="false">ABS(S31-$B$8)+ABS(T31-$B$9)+ABS(U31-$B$10)+ABS(V31-$B$11)+ABS(W31-$B$12)</f>
        <v>4.75932682153513E-009</v>
      </c>
    </row>
    <row r="32" customFormat="false" ht="15" hidden="false" customHeight="false" outlineLevel="0" collapsed="false">
      <c r="A32" s="41" t="n">
        <v>15</v>
      </c>
      <c r="B32" s="59" t="n">
        <f aca="false">IFERROR(B31*$B$8/S31,0)</f>
        <v>0.15514423955282</v>
      </c>
      <c r="C32" s="59" t="n">
        <f aca="false">IFERROR(C31*$B$9/T31,0)</f>
        <v>0.453456953771928</v>
      </c>
      <c r="D32" s="59" t="n">
        <f aca="false">IFERROR(D31*$B$10/U31,0)</f>
        <v>0.098014572978213</v>
      </c>
      <c r="E32" s="59" t="n">
        <f aca="false">IFERROR(E31*$B$11/V31,0)</f>
        <v>0.198759361030611</v>
      </c>
      <c r="F32" s="59" t="n">
        <f aca="false">IFERROR(F31*$B$12/W31,0)</f>
        <v>0.193623911107306</v>
      </c>
      <c r="G32" s="59" t="n">
        <f aca="false">IFERROR(C$7/($B32*C$8+$C32*C$9+$D32*C$10+$E32*C$11+$F32*C$12),0)</f>
        <v>0.280306793524366</v>
      </c>
      <c r="H32" s="59" t="n">
        <f aca="false">IFERROR(D$7/($B32*D$8+$C32*D$9+$D32*D$10+$E32*D$11+$F32*D$12),0)</f>
        <v>0.153271344809404</v>
      </c>
      <c r="I32" s="59" t="n">
        <f aca="false">IFERROR(E$7/($B32*E$8+$C32*E$9+$D32*E$10+$E32*E$11+$F32*E$12),0)</f>
        <v>0.513522127728601</v>
      </c>
      <c r="J32" s="59" t="n">
        <f aca="false">IFERROR(F$7/($B32*F$8+$C32*F$9+$D32*F$10+$E32*F$11+$F32*F$12),0)</f>
        <v>0.195863564887469</v>
      </c>
      <c r="K32" s="59" t="n">
        <f aca="false">IFERROR(G$7/($B32*G$8+$C32*G$9+$D32*G$10+$E32*G$11+$F32*G$12),0)</f>
        <v>0.0962967136657814</v>
      </c>
      <c r="L32" s="59" t="n">
        <f aca="false">IFERROR(H$7/($B32*H$8+$C32*H$9+$D32*H$10+$E32*H$11+$F32*H$12),0)</f>
        <v>0.185820919703652</v>
      </c>
      <c r="M32" s="59" t="n">
        <f aca="false">IFERROR(I$7/($B32*I$8+$C32*I$9+$D32*I$10+$E32*I$11+$F32*I$12),0)</f>
        <v>0.0413870926261478</v>
      </c>
      <c r="N32" s="59" t="n">
        <f aca="false">IFERROR(J$7/($B32*J$8+$C32*J$9+$D32*J$10+$E32*J$11+$F32*J$12),0)</f>
        <v>0.0466015395668594</v>
      </c>
      <c r="O32" s="59" t="n">
        <f aca="false">IFERROR(K$7/($B32*K$8+$C32*K$9+$D32*K$10+$E32*K$11+$F32*K$12),0)</f>
        <v>0.0120494889161683</v>
      </c>
      <c r="P32" s="59" t="n">
        <f aca="false">IFERROR(L$7/($B32*L$8+$C32*L$9+$D32*L$10+$E32*L$11+$F32*L$12),0)</f>
        <v>0.0506034655872497</v>
      </c>
      <c r="Q32" s="59" t="n">
        <f aca="false">IFERROR(M$7/($B32*M$8+$C32*M$9+$D32*M$10+$E32*M$11+$F32*M$12),0)</f>
        <v>0.0356806419408786</v>
      </c>
      <c r="R32" s="59" t="n">
        <f aca="false">IFERROR(N$7/($B32*N$8+$C32*N$9+$D32*N$10+$E32*N$11+$F32*N$12),0)</f>
        <v>0.0167065520871467</v>
      </c>
      <c r="S32" s="59" t="n">
        <f aca="false">B32*SUMPRODUCT($C$8:$N$8,$G32:$R32)</f>
        <v>0.250000000556354</v>
      </c>
      <c r="T32" s="59" t="n">
        <f aca="false">C32*SUMPRODUCT($C$9:$N$9,$G32:$R32)</f>
        <v>0.299999999328353</v>
      </c>
      <c r="U32" s="59" t="n">
        <f aca="false">D32*SUMPRODUCT($C$10:$N$10,$G32:$R32)</f>
        <v>0.0999999999703114</v>
      </c>
      <c r="V32" s="59" t="n">
        <f aca="false">E32*SUMPRODUCT($C$11:$N$11,$G32:$R32)</f>
        <v>0.200000000014584</v>
      </c>
      <c r="W32" s="59" t="n">
        <f aca="false">F32*SUMPRODUCT($C$12:$N$12,$G32:$R32)</f>
        <v>0.150000000130398</v>
      </c>
      <c r="X32" s="60" t="n">
        <f aca="false">ABS(S32-$B$8)+ABS(T32-$B$9)+ABS(U32-$B$10)+ABS(V32-$B$11)+ABS(W32-$B$12)</f>
        <v>1.4026718397897E-009</v>
      </c>
    </row>
    <row r="33" customFormat="false" ht="15" hidden="false" customHeight="false" outlineLevel="0" collapsed="false">
      <c r="A33" s="41" t="n">
        <v>16</v>
      </c>
      <c r="B33" s="59" t="n">
        <f aca="false">IFERROR(B32*$B$8/S32,0)</f>
        <v>0.15514423920756</v>
      </c>
      <c r="C33" s="59" t="n">
        <f aca="false">IFERROR(C32*$B$9/T32,0)</f>
        <v>0.453456954787139</v>
      </c>
      <c r="D33" s="59" t="n">
        <f aca="false">IFERROR(D32*$B$10/U32,0)</f>
        <v>0.0980145730073122</v>
      </c>
      <c r="E33" s="59" t="n">
        <f aca="false">IFERROR(E32*$B$11/V32,0)</f>
        <v>0.198759361016118</v>
      </c>
      <c r="F33" s="59" t="n">
        <f aca="false">IFERROR(F32*$B$12/W32,0)</f>
        <v>0.193623910938985</v>
      </c>
      <c r="G33" s="59" t="n">
        <f aca="false">IFERROR(C$7/($B33*C$8+$C33*C$9+$D33*C$10+$E33*C$11+$F33*C$12),0)</f>
        <v>0.280306793392697</v>
      </c>
      <c r="H33" s="59" t="n">
        <f aca="false">IFERROR(D$7/($B33*D$8+$C33*D$9+$D33*D$10+$E33*D$11+$F33*D$12),0)</f>
        <v>0.153271344927876</v>
      </c>
      <c r="I33" s="59" t="n">
        <f aca="false">IFERROR(E$7/($B33*E$8+$C33*E$9+$D33*E$10+$E33*E$11+$F33*E$12),0)</f>
        <v>0.513522128871402</v>
      </c>
      <c r="J33" s="59" t="n">
        <f aca="false">IFERROR(F$7/($B33*F$8+$C33*F$9+$D33*F$10+$E33*F$11+$F33*F$12),0)</f>
        <v>0.195863564739377</v>
      </c>
      <c r="K33" s="59" t="n">
        <f aca="false">IFERROR(G$7/($B33*G$8+$C33*G$9+$D33*G$10+$E33*G$11+$F33*G$12),0)</f>
        <v>0.0962967135705158</v>
      </c>
      <c r="L33" s="59" t="n">
        <f aca="false">IFERROR(H$7/($B33*H$8+$C33*H$9+$D33*H$10+$E33*H$11+$F33*H$12),0)</f>
        <v>0.185820919847283</v>
      </c>
      <c r="M33" s="59" t="n">
        <f aca="false">IFERROR(I$7/($B33*I$8+$C33*I$9+$D33*I$10+$E33*I$11+$F33*I$12),0)</f>
        <v>0.0413870926067069</v>
      </c>
      <c r="N33" s="59" t="n">
        <f aca="false">IFERROR(J$7/($B33*J$8+$C33*J$9+$D33*J$10+$E33*J$11+$F33*J$12),0)</f>
        <v>0.0466015396118053</v>
      </c>
      <c r="O33" s="59" t="n">
        <f aca="false">IFERROR(K$7/($B33*K$8+$C33*K$9+$D33*K$10+$E33*K$11+$F33*K$12),0)</f>
        <v>0.0120494889029041</v>
      </c>
      <c r="P33" s="59" t="n">
        <f aca="false">IFERROR(L$7/($B33*L$8+$C33*L$9+$D33*L$10+$E33*L$11+$F33*L$12),0)</f>
        <v>0.050603465626364</v>
      </c>
      <c r="Q33" s="59" t="n">
        <f aca="false">IFERROR(M$7/($B33*M$8+$C33*M$9+$D33*M$10+$E33*M$11+$F33*M$12),0)</f>
        <v>0.0356806419119113</v>
      </c>
      <c r="R33" s="59" t="n">
        <f aca="false">IFERROR(N$7/($B33*N$8+$C33*N$9+$D33*N$10+$E33*N$11+$F33*N$12),0)</f>
        <v>0.0167065520923834</v>
      </c>
      <c r="S33" s="59" t="n">
        <f aca="false">B33*SUMPRODUCT($C$8:$N$8,$G33:$R33)</f>
        <v>0.250000000163253</v>
      </c>
      <c r="T33" s="59" t="n">
        <f aca="false">C33*SUMPRODUCT($C$9:$N$9,$G33:$R33)</f>
        <v>0.299999999801975</v>
      </c>
      <c r="U33" s="59" t="n">
        <f aca="false">D33*SUMPRODUCT($C$10:$N$10,$G33:$R33)</f>
        <v>0.0999999999913734</v>
      </c>
      <c r="V33" s="59" t="n">
        <f aca="false">E33*SUMPRODUCT($C$11:$N$11,$G33:$R33)</f>
        <v>0.200000000004617</v>
      </c>
      <c r="W33" s="59" t="n">
        <f aca="false">F33*SUMPRODUCT($C$12:$N$12,$G33:$R33)</f>
        <v>0.150000000038781</v>
      </c>
      <c r="X33" s="60" t="n">
        <f aca="false">ABS(S33-$B$8)+ABS(T33-$B$9)+ABS(U33-$B$10)+ABS(V33-$B$11)+ABS(W33-$B$12)</f>
        <v>4.13302225776846E-010</v>
      </c>
    </row>
    <row r="34" customFormat="false" ht="15" hidden="false" customHeight="false" outlineLevel="0" collapsed="false">
      <c r="A34" s="41" t="n">
        <v>17</v>
      </c>
      <c r="B34" s="59" t="n">
        <f aca="false">IFERROR(B33*$B$8/S33,0)</f>
        <v>0.155144239106249</v>
      </c>
      <c r="C34" s="59" t="n">
        <f aca="false">IFERROR(C33*$B$9/T33,0)</f>
        <v>0.453456955086458</v>
      </c>
      <c r="D34" s="59" t="n">
        <f aca="false">IFERROR(D33*$B$10/U33,0)</f>
        <v>0.0980145730157675</v>
      </c>
      <c r="E34" s="59" t="n">
        <f aca="false">IFERROR(E33*$B$11/V33,0)</f>
        <v>0.198759361011529</v>
      </c>
      <c r="F34" s="59" t="n">
        <f aca="false">IFERROR(F33*$B$12/W33,0)</f>
        <v>0.193623910888926</v>
      </c>
      <c r="G34" s="59" t="n">
        <f aca="false">IFERROR(C$7/($B34*C$8+$C34*C$9+$D34*C$10+$E34*C$11+$F34*C$12),0)</f>
        <v>0.280306793353976</v>
      </c>
      <c r="H34" s="59" t="n">
        <f aca="false">IFERROR(D$7/($B34*D$8+$C34*D$9+$D34*D$10+$E34*D$11+$F34*D$12),0)</f>
        <v>0.153271344962897</v>
      </c>
      <c r="I34" s="59" t="n">
        <f aca="false">IFERROR(E$7/($B34*E$8+$C34*E$9+$D34*E$10+$E34*E$11+$F34*E$12),0)</f>
        <v>0.513522129206738</v>
      </c>
      <c r="J34" s="59" t="n">
        <f aca="false">IFERROR(F$7/($B34*F$8+$C34*F$9+$D34*F$10+$E34*F$11+$F34*F$12),0)</f>
        <v>0.195863564695704</v>
      </c>
      <c r="K34" s="59" t="n">
        <f aca="false">IFERROR(G$7/($B34*G$8+$C34*G$9+$D34*G$10+$E34*G$11+$F34*G$12),0)</f>
        <v>0.0962967135423793</v>
      </c>
      <c r="L34" s="59" t="n">
        <f aca="false">IFERROR(H$7/($B34*H$8+$C34*H$9+$D34*H$10+$E34*H$11+$F34*H$12),0)</f>
        <v>0.185820919889743</v>
      </c>
      <c r="M34" s="59" t="n">
        <f aca="false">IFERROR(I$7/($B34*I$8+$C34*I$9+$D34*I$10+$E34*I$11+$F34*I$12),0)</f>
        <v>0.0413870926009898</v>
      </c>
      <c r="N34" s="59" t="n">
        <f aca="false">IFERROR(J$7/($B34*J$8+$C34*J$9+$D34*J$10+$E34*J$11+$F34*J$12),0)</f>
        <v>0.0466015396250794</v>
      </c>
      <c r="O34" s="59" t="n">
        <f aca="false">IFERROR(K$7/($B34*K$8+$C34*K$9+$D34*K$10+$E34*K$11+$F34*K$12),0)</f>
        <v>0.0120494888989839</v>
      </c>
      <c r="P34" s="59" t="n">
        <f aca="false">IFERROR(L$7/($B34*L$8+$C34*L$9+$D34*L$10+$E34*L$11+$F34*L$12),0)</f>
        <v>0.0506034656379266</v>
      </c>
      <c r="Q34" s="59" t="n">
        <f aca="false">IFERROR(M$7/($B34*M$8+$C34*M$9+$D34*M$10+$E34*M$11+$F34*M$12),0)</f>
        <v>0.0356806419033632</v>
      </c>
      <c r="R34" s="59" t="n">
        <f aca="false">IFERROR(N$7/($B34*N$8+$C34*N$9+$D34*N$10+$E34*N$11+$F34*N$12),0)</f>
        <v>0.0167065520939571</v>
      </c>
      <c r="S34" s="59" t="n">
        <f aca="false">B34*SUMPRODUCT($C$8:$N$8,$G34:$R34)</f>
        <v>0.25000000004793</v>
      </c>
      <c r="T34" s="59" t="n">
        <f aca="false">C34*SUMPRODUCT($C$9:$N$9,$G34:$R34)</f>
        <v>0.299999999941633</v>
      </c>
      <c r="U34" s="59" t="n">
        <f aca="false">D34*SUMPRODUCT($C$10:$N$10,$G34:$R34)</f>
        <v>0.0999999999974879</v>
      </c>
      <c r="V34" s="59" t="n">
        <f aca="false">E34*SUMPRODUCT($C$11:$N$11,$G34:$R34)</f>
        <v>0.200000000001438</v>
      </c>
      <c r="W34" s="59" t="n">
        <f aca="false">F34*SUMPRODUCT($C$12:$N$12,$G34:$R34)</f>
        <v>0.150000000011512</v>
      </c>
      <c r="X34" s="60" t="n">
        <f aca="false">ABS(S34-$B$8)+ABS(T34-$B$9)+ABS(U34-$B$10)+ABS(V34-$B$11)+ABS(W34-$B$12)</f>
        <v>1.2175822849958E-010</v>
      </c>
    </row>
    <row r="35" customFormat="false" ht="15" hidden="false" customHeight="false" outlineLevel="0" collapsed="false">
      <c r="A35" s="41" t="n">
        <v>18</v>
      </c>
      <c r="B35" s="59" t="n">
        <f aca="false">IFERROR(B34*$B$8/S34,0)</f>
        <v>0.155144239076504</v>
      </c>
      <c r="C35" s="59" t="n">
        <f aca="false">IFERROR(C34*$B$9/T34,0)</f>
        <v>0.453456955174681</v>
      </c>
      <c r="D35" s="59" t="n">
        <f aca="false">IFERROR(D34*$B$10/U34,0)</f>
        <v>0.0980145730182298</v>
      </c>
      <c r="E35" s="59" t="n">
        <f aca="false">IFERROR(E34*$B$11/V34,0)</f>
        <v>0.1987593610101</v>
      </c>
      <c r="F35" s="59" t="n">
        <f aca="false">IFERROR(F34*$B$12/W34,0)</f>
        <v>0.193623910874067</v>
      </c>
      <c r="G35" s="59" t="n">
        <f aca="false">IFERROR(C$7/($B35*C$8+$C35*C$9+$D35*C$10+$E35*C$11+$F35*C$12),0)</f>
        <v>0.280306793342586</v>
      </c>
      <c r="H35" s="59" t="n">
        <f aca="false">IFERROR(D$7/($B35*D$8+$C35*D$9+$D35*D$10+$E35*D$11+$F35*D$12),0)</f>
        <v>0.153271344973242</v>
      </c>
      <c r="I35" s="59" t="n">
        <f aca="false">IFERROR(E$7/($B35*E$8+$C35*E$9+$D35*E$10+$E35*E$11+$F35*E$12),0)</f>
        <v>0.51352212930519</v>
      </c>
      <c r="J35" s="59" t="n">
        <f aca="false">IFERROR(F$7/($B35*F$8+$C35*F$9+$D35*F$10+$E35*F$11+$F35*F$12),0)</f>
        <v>0.19586356468283</v>
      </c>
      <c r="K35" s="59" t="n">
        <f aca="false">IFERROR(G$7/($B35*G$8+$C35*G$9+$D35*G$10+$E35*G$11+$F35*G$12),0)</f>
        <v>0.0962967135340744</v>
      </c>
      <c r="L35" s="59" t="n">
        <f aca="false">IFERROR(H$7/($B35*H$8+$C35*H$9+$D35*H$10+$E35*H$11+$F35*H$12),0)</f>
        <v>0.185820919902284</v>
      </c>
      <c r="M35" s="59" t="n">
        <f aca="false">IFERROR(I$7/($B35*I$8+$C35*I$9+$D35*I$10+$E35*I$11+$F35*I$12),0)</f>
        <v>0.0413870925993082</v>
      </c>
      <c r="N35" s="59" t="n">
        <f aca="false">IFERROR(J$7/($B35*J$8+$C35*J$9+$D35*J$10+$E35*J$11+$F35*J$12),0)</f>
        <v>0.0466015396289973</v>
      </c>
      <c r="O35" s="59" t="n">
        <f aca="false">IFERROR(K$7/($B35*K$8+$C35*K$9+$D35*K$10+$E35*K$11+$F35*K$12),0)</f>
        <v>0.0120494888978261</v>
      </c>
      <c r="P35" s="59" t="n">
        <f aca="false">IFERROR(L$7/($B35*L$8+$C35*L$9+$D35*L$10+$E35*L$11+$F35*L$12),0)</f>
        <v>0.0506034656413421</v>
      </c>
      <c r="Q35" s="59" t="n">
        <f aca="false">IFERROR(M$7/($B35*M$8+$C35*M$9+$D35*M$10+$E35*M$11+$F35*M$12),0)</f>
        <v>0.035680641900842</v>
      </c>
      <c r="R35" s="59" t="n">
        <f aca="false">IFERROR(N$7/($B35*N$8+$C35*N$9+$D35*N$10+$E35*N$11+$F35*N$12),0)</f>
        <v>0.0167065520944281</v>
      </c>
      <c r="S35" s="59" t="n">
        <f aca="false">B35*SUMPRODUCT($C$8:$N$8,$G35:$R35)</f>
        <v>0.250000000014078</v>
      </c>
      <c r="T35" s="59" t="n">
        <f aca="false">C35*SUMPRODUCT($C$9:$N$9,$G35:$R35)</f>
        <v>0.299999999982801</v>
      </c>
      <c r="U35" s="59" t="n">
        <f aca="false">D35*SUMPRODUCT($C$10:$N$10,$G35:$R35)</f>
        <v>0.0999999999992671</v>
      </c>
      <c r="V35" s="59" t="n">
        <f aca="false">E35*SUMPRODUCT($C$11:$N$11,$G35:$R35)</f>
        <v>0.200000000000442</v>
      </c>
      <c r="W35" s="59" t="n">
        <f aca="false">F35*SUMPRODUCT($C$12:$N$12,$G35:$R35)</f>
        <v>0.150000000003412</v>
      </c>
      <c r="X35" s="60" t="n">
        <f aca="false">ABS(S35-$B$8)+ABS(T35-$B$9)+ABS(U35-$B$10)+ABS(V35-$B$11)+ABS(W35-$B$12)</f>
        <v>3.58643253983715E-011</v>
      </c>
    </row>
    <row r="36" customFormat="false" ht="15" hidden="false" customHeight="false" outlineLevel="0" collapsed="false">
      <c r="A36" s="41" t="n">
        <v>19</v>
      </c>
      <c r="B36" s="59" t="n">
        <f aca="false">IFERROR(B35*$B$8/S35,0)</f>
        <v>0.155144239067768</v>
      </c>
      <c r="C36" s="59" t="n">
        <f aca="false">IFERROR(C35*$B$9/T35,0)</f>
        <v>0.453456955200678</v>
      </c>
      <c r="D36" s="59" t="n">
        <f aca="false">IFERROR(D35*$B$10/U35,0)</f>
        <v>0.0980145730189481</v>
      </c>
      <c r="E36" s="59" t="n">
        <f aca="false">IFERROR(E35*$B$11/V35,0)</f>
        <v>0.198759361009661</v>
      </c>
      <c r="F36" s="59" t="n">
        <f aca="false">IFERROR(F35*$B$12/W35,0)</f>
        <v>0.193623910869663</v>
      </c>
      <c r="G36" s="59" t="n">
        <f aca="false">IFERROR(C$7/($B36*C$8+$C36*C$9+$D36*C$10+$E36*C$11+$F36*C$12),0)</f>
        <v>0.280306793339236</v>
      </c>
      <c r="H36" s="59" t="n">
        <f aca="false">IFERROR(D$7/($B36*D$8+$C36*D$9+$D36*D$10+$E36*D$11+$F36*D$12),0)</f>
        <v>0.153271344976296</v>
      </c>
      <c r="I36" s="59" t="n">
        <f aca="false">IFERROR(E$7/($B36*E$8+$C36*E$9+$D36*E$10+$E36*E$11+$F36*E$12),0)</f>
        <v>0.513522129334108</v>
      </c>
      <c r="J36" s="59" t="n">
        <f aca="false">IFERROR(F$7/($B36*F$8+$C36*F$9+$D36*F$10+$E36*F$11+$F36*F$12),0)</f>
        <v>0.195863564679035</v>
      </c>
      <c r="K36" s="59" t="n">
        <f aca="false">IFERROR(G$7/($B36*G$8+$C36*G$9+$D36*G$10+$E36*G$11+$F36*G$12),0)</f>
        <v>0.0962967135316242</v>
      </c>
      <c r="L36" s="59" t="n">
        <f aca="false">IFERROR(H$7/($B36*H$8+$C36*H$9+$D36*H$10+$E36*H$11+$F36*H$12),0)</f>
        <v>0.185820919905987</v>
      </c>
      <c r="M36" s="59" t="n">
        <f aca="false">IFERROR(I$7/($B36*I$8+$C36*I$9+$D36*I$10+$E36*I$11+$F36*I$12),0)</f>
        <v>0.0413870925988135</v>
      </c>
      <c r="N36" s="59" t="n">
        <f aca="false">IFERROR(J$7/($B36*J$8+$C36*J$9+$D36*J$10+$E36*J$11+$F36*J$12),0)</f>
        <v>0.0466015396301532</v>
      </c>
      <c r="O36" s="59" t="n">
        <f aca="false">IFERROR(K$7/($B36*K$8+$C36*K$9+$D36*K$10+$E36*K$11+$F36*K$12),0)</f>
        <v>0.0120494888974843</v>
      </c>
      <c r="P36" s="59" t="n">
        <f aca="false">IFERROR(L$7/($B36*L$8+$C36*L$9+$D36*L$10+$E36*L$11+$F36*L$12),0)</f>
        <v>0.0506034656423503</v>
      </c>
      <c r="Q36" s="59" t="n">
        <f aca="false">IFERROR(M$7/($B36*M$8+$C36*M$9+$D36*M$10+$E36*M$11+$F36*M$12),0)</f>
        <v>0.0356806419000986</v>
      </c>
      <c r="R36" s="59" t="n">
        <f aca="false">IFERROR(N$7/($B36*N$8+$C36*N$9+$D36*N$10+$E36*N$11+$F36*N$12),0)</f>
        <v>0.0167065520945686</v>
      </c>
      <c r="S36" s="59" t="n">
        <f aca="false">B36*SUMPRODUCT($C$8:$N$8,$G36:$R36)</f>
        <v>0.250000000004137</v>
      </c>
      <c r="T36" s="59" t="n">
        <f aca="false">C36*SUMPRODUCT($C$9:$N$9,$G36:$R36)</f>
        <v>0.299999999994933</v>
      </c>
      <c r="U36" s="59" t="n">
        <f aca="false">D36*SUMPRODUCT($C$10:$N$10,$G36:$R36)</f>
        <v>0.0999999999997859</v>
      </c>
      <c r="V36" s="59" t="n">
        <f aca="false">E36*SUMPRODUCT($C$11:$N$11,$G36:$R36)</f>
        <v>0.200000000000135</v>
      </c>
      <c r="W36" s="59" t="n">
        <f aca="false">F36*SUMPRODUCT($C$12:$N$12,$G36:$R36)</f>
        <v>0.15000000000101</v>
      </c>
      <c r="X36" s="60" t="n">
        <f aca="false">ABS(S36-$B$8)+ABS(T36-$B$9)+ABS(U36-$B$10)+ABS(V36-$B$11)+ABS(W36-$B$12)</f>
        <v>1.05626341007081E-011</v>
      </c>
    </row>
    <row r="37" customFormat="false" ht="15" hidden="false" customHeight="false" outlineLevel="0" collapsed="false">
      <c r="A37" s="41" t="n">
        <v>20</v>
      </c>
      <c r="B37" s="59" t="n">
        <f aca="false">IFERROR(B36*$B$8/S36,0)</f>
        <v>0.155144239065201</v>
      </c>
      <c r="C37" s="59" t="n">
        <f aca="false">IFERROR(C36*$B$9/T36,0)</f>
        <v>0.453456955208337</v>
      </c>
      <c r="D37" s="59" t="n">
        <f aca="false">IFERROR(D36*$B$10/U36,0)</f>
        <v>0.098014573019158</v>
      </c>
      <c r="E37" s="59" t="n">
        <f aca="false">IFERROR(E36*$B$11/V36,0)</f>
        <v>0.198759361009527</v>
      </c>
      <c r="F37" s="59" t="n">
        <f aca="false">IFERROR(F36*$B$12/W36,0)</f>
        <v>0.193623910868359</v>
      </c>
      <c r="G37" s="59" t="n">
        <f aca="false">IFERROR(C$7/($B37*C$8+$C37*C$9+$D37*C$10+$E37*C$11+$F37*C$12),0)</f>
        <v>0.280306793338251</v>
      </c>
      <c r="H37" s="59" t="n">
        <f aca="false">IFERROR(D$7/($B37*D$8+$C37*D$9+$D37*D$10+$E37*D$11+$F37*D$12),0)</f>
        <v>0.153271344977197</v>
      </c>
      <c r="I37" s="59" t="n">
        <f aca="false">IFERROR(E$7/($B37*E$8+$C37*E$9+$D37*E$10+$E37*E$11+$F37*E$12),0)</f>
        <v>0.513522129342605</v>
      </c>
      <c r="J37" s="59" t="n">
        <f aca="false">IFERROR(F$7/($B37*F$8+$C37*F$9+$D37*F$10+$E37*F$11+$F37*F$12),0)</f>
        <v>0.195863564677917</v>
      </c>
      <c r="K37" s="59" t="n">
        <f aca="false">IFERROR(G$7/($B37*G$8+$C37*G$9+$D37*G$10+$E37*G$11+$F37*G$12),0)</f>
        <v>0.0962967135309017</v>
      </c>
      <c r="L37" s="59" t="n">
        <f aca="false">IFERROR(H$7/($B37*H$8+$C37*H$9+$D37*H$10+$E37*H$11+$F37*H$12),0)</f>
        <v>0.185820919907079</v>
      </c>
      <c r="M37" s="59" t="n">
        <f aca="false">IFERROR(I$7/($B37*I$8+$C37*I$9+$D37*I$10+$E37*I$11+$F37*I$12),0)</f>
        <v>0.041387092598668</v>
      </c>
      <c r="N37" s="59" t="n">
        <f aca="false">IFERROR(J$7/($B37*J$8+$C37*J$9+$D37*J$10+$E37*J$11+$F37*J$12),0)</f>
        <v>0.046601539630494</v>
      </c>
      <c r="O37" s="59" t="n">
        <f aca="false">IFERROR(K$7/($B37*K$8+$C37*K$9+$D37*K$10+$E37*K$11+$F37*K$12),0)</f>
        <v>0.0120494888973835</v>
      </c>
      <c r="P37" s="59" t="n">
        <f aca="false">IFERROR(L$7/($B37*L$8+$C37*L$9+$D37*L$10+$E37*L$11+$F37*L$12),0)</f>
        <v>0.0506034656426477</v>
      </c>
      <c r="Q37" s="59" t="n">
        <f aca="false">IFERROR(M$7/($B37*M$8+$C37*M$9+$D37*M$10+$E37*M$11+$F37*M$12),0)</f>
        <v>0.0356806418998794</v>
      </c>
      <c r="R37" s="59" t="n">
        <f aca="false">IFERROR(N$7/($B37*N$8+$C37*N$9+$D37*N$10+$E37*N$11+$F37*N$12),0)</f>
        <v>0.0167065520946104</v>
      </c>
      <c r="S37" s="59" t="n">
        <f aca="false">B37*SUMPRODUCT($C$8:$N$8,$G37:$R37)</f>
        <v>0.250000000001216</v>
      </c>
      <c r="T37" s="59" t="n">
        <f aca="false">C37*SUMPRODUCT($C$9:$N$9,$G37:$R37)</f>
        <v>0.299999999998507</v>
      </c>
      <c r="U37" s="59" t="n">
        <f aca="false">D37*SUMPRODUCT($C$10:$N$10,$G37:$R37)</f>
        <v>0.0999999999999374</v>
      </c>
      <c r="V37" s="59" t="n">
        <f aca="false">E37*SUMPRODUCT($C$11:$N$11,$G37:$R37)</f>
        <v>0.200000000000041</v>
      </c>
      <c r="W37" s="59" t="n">
        <f aca="false">F37*SUMPRODUCT($C$12:$N$12,$G37:$R37)</f>
        <v>0.150000000000299</v>
      </c>
      <c r="X37" s="60" t="n">
        <f aca="false">ABS(S37-$B$8)+ABS(T37-$B$9)+ABS(U37-$B$10)+ABS(V37-$B$11)+ABS(W37-$B$12)</f>
        <v>3.11048409251669E-012</v>
      </c>
    </row>
    <row r="38" customFormat="false" ht="15" hidden="false" customHeight="false" outlineLevel="0" collapsed="false">
      <c r="A38" s="41" t="n">
        <v>21</v>
      </c>
      <c r="B38" s="59" t="n">
        <f aca="false">IFERROR(B37*$B$8/S37,0)</f>
        <v>0.155144239064446</v>
      </c>
      <c r="C38" s="59" t="n">
        <f aca="false">IFERROR(C37*$B$9/T37,0)</f>
        <v>0.453456955210593</v>
      </c>
      <c r="D38" s="59" t="n">
        <f aca="false">IFERROR(D37*$B$10/U37,0)</f>
        <v>0.0980145730192194</v>
      </c>
      <c r="E38" s="59" t="n">
        <f aca="false">IFERROR(E37*$B$11/V37,0)</f>
        <v>0.198759361009487</v>
      </c>
      <c r="F38" s="59" t="n">
        <f aca="false">IFERROR(F37*$B$12/W37,0)</f>
        <v>0.193623910867974</v>
      </c>
      <c r="G38" s="59" t="n">
        <f aca="false">IFERROR(C$7/($B38*C$8+$C38*C$9+$D38*C$10+$E38*C$11+$F38*C$12),0)</f>
        <v>0.280306793337961</v>
      </c>
      <c r="H38" s="59" t="n">
        <f aca="false">IFERROR(D$7/($B38*D$8+$C38*D$9+$D38*D$10+$E38*D$11+$F38*D$12),0)</f>
        <v>0.153271344977463</v>
      </c>
      <c r="I38" s="59" t="n">
        <f aca="false">IFERROR(E$7/($B38*E$8+$C38*E$9+$D38*E$10+$E38*E$11+$F38*E$12),0)</f>
        <v>0.513522129345103</v>
      </c>
      <c r="J38" s="59" t="n">
        <f aca="false">IFERROR(F$7/($B38*F$8+$C38*F$9+$D38*F$10+$E38*F$11+$F38*F$12),0)</f>
        <v>0.195863564677588</v>
      </c>
      <c r="K38" s="59" t="n">
        <f aca="false">IFERROR(G$7/($B38*G$8+$C38*G$9+$D38*G$10+$E38*G$11+$F38*G$12),0)</f>
        <v>0.0962967135306887</v>
      </c>
      <c r="L38" s="59" t="n">
        <f aca="false">IFERROR(H$7/($B38*H$8+$C38*H$9+$D38*H$10+$E38*H$11+$F38*H$12),0)</f>
        <v>0.185820919907401</v>
      </c>
      <c r="M38" s="59" t="n">
        <f aca="false">IFERROR(I$7/($B38*I$8+$C38*I$9+$D38*I$10+$E38*I$11+$F38*I$12),0)</f>
        <v>0.0413870925986252</v>
      </c>
      <c r="N38" s="59" t="n">
        <f aca="false">IFERROR(J$7/($B38*J$8+$C38*J$9+$D38*J$10+$E38*J$11+$F38*J$12),0)</f>
        <v>0.0466015396305945</v>
      </c>
      <c r="O38" s="59" t="n">
        <f aca="false">IFERROR(K$7/($B38*K$8+$C38*K$9+$D38*K$10+$E38*K$11+$F38*K$12),0)</f>
        <v>0.0120494888973538</v>
      </c>
      <c r="P38" s="59" t="n">
        <f aca="false">IFERROR(L$7/($B38*L$8+$C38*L$9+$D38*L$10+$E38*L$11+$F38*L$12),0)</f>
        <v>0.0506034656427355</v>
      </c>
      <c r="Q38" s="59" t="n">
        <f aca="false">IFERROR(M$7/($B38*M$8+$C38*M$9+$D38*M$10+$E38*M$11+$F38*M$12),0)</f>
        <v>0.0356806418998149</v>
      </c>
      <c r="R38" s="59" t="n">
        <f aca="false">IFERROR(N$7/($B38*N$8+$C38*N$9+$D38*N$10+$E38*N$11+$F38*N$12),0)</f>
        <v>0.0167065520946228</v>
      </c>
      <c r="S38" s="59" t="n">
        <f aca="false">B38*SUMPRODUCT($C$8:$N$8,$G38:$R38)</f>
        <v>0.250000000000357</v>
      </c>
      <c r="T38" s="59" t="n">
        <f aca="false">C38*SUMPRODUCT($C$9:$N$9,$G38:$R38)</f>
        <v>0.29999999999956</v>
      </c>
      <c r="U38" s="59" t="n">
        <f aca="false">D38*SUMPRODUCT($C$10:$N$10,$G38:$R38)</f>
        <v>0.0999999999999817</v>
      </c>
      <c r="V38" s="59" t="n">
        <f aca="false">E38*SUMPRODUCT($C$11:$N$11,$G38:$R38)</f>
        <v>0.200000000000012</v>
      </c>
      <c r="W38" s="59" t="n">
        <f aca="false">F38*SUMPRODUCT($C$12:$N$12,$G38:$R38)</f>
        <v>0.150000000000088</v>
      </c>
      <c r="X38" s="60" t="n">
        <f aca="false">ABS(S38-$B$8)+ABS(T38-$B$9)+ABS(U38-$B$10)+ABS(V38-$B$11)+ABS(W38-$B$12)</f>
        <v>9.15947873103562E-013</v>
      </c>
    </row>
    <row r="39" customFormat="false" ht="15" hidden="false" customHeight="false" outlineLevel="0" collapsed="false">
      <c r="A39" s="41" t="n">
        <v>22</v>
      </c>
      <c r="B39" s="59" t="n">
        <f aca="false">IFERROR(B38*$B$8/S38,0)</f>
        <v>0.155144239064224</v>
      </c>
      <c r="C39" s="59" t="n">
        <f aca="false">IFERROR(C38*$B$9/T38,0)</f>
        <v>0.453456955211258</v>
      </c>
      <c r="D39" s="59" t="n">
        <f aca="false">IFERROR(D38*$B$10/U38,0)</f>
        <v>0.0980145730192374</v>
      </c>
      <c r="E39" s="59" t="n">
        <f aca="false">IFERROR(E38*$B$11/V38,0)</f>
        <v>0.198759361009474</v>
      </c>
      <c r="F39" s="59" t="n">
        <f aca="false">IFERROR(F38*$B$12/W38,0)</f>
        <v>0.19362391086786</v>
      </c>
      <c r="G39" s="59" t="n">
        <f aca="false">IFERROR(C$7/($B39*C$8+$C39*C$9+$D39*C$10+$E39*C$11+$F39*C$12),0)</f>
        <v>0.280306793337875</v>
      </c>
      <c r="H39" s="59" t="n">
        <f aca="false">IFERROR(D$7/($B39*D$8+$C39*D$9+$D39*D$10+$E39*D$11+$F39*D$12),0)</f>
        <v>0.153271344977541</v>
      </c>
      <c r="I39" s="59" t="n">
        <f aca="false">IFERROR(E$7/($B39*E$8+$C39*E$9+$D39*E$10+$E39*E$11+$F39*E$12),0)</f>
        <v>0.513522129345837</v>
      </c>
      <c r="J39" s="59" t="n">
        <f aca="false">IFERROR(F$7/($B39*F$8+$C39*F$9+$D39*F$10+$E39*F$11+$F39*F$12),0)</f>
        <v>0.195863564677491</v>
      </c>
      <c r="K39" s="59" t="n">
        <f aca="false">IFERROR(G$7/($B39*G$8+$C39*G$9+$D39*G$10+$E39*G$11+$F39*G$12),0)</f>
        <v>0.0962967135306259</v>
      </c>
      <c r="L39" s="59" t="n">
        <f aca="false">IFERROR(H$7/($B39*H$8+$C39*H$9+$D39*H$10+$E39*H$11+$F39*H$12),0)</f>
        <v>0.185820919907496</v>
      </c>
      <c r="M39" s="59" t="n">
        <f aca="false">IFERROR(I$7/($B39*I$8+$C39*I$9+$D39*I$10+$E39*I$11+$F39*I$12),0)</f>
        <v>0.0413870925986126</v>
      </c>
      <c r="N39" s="59" t="n">
        <f aca="false">IFERROR(J$7/($B39*J$8+$C39*J$9+$D39*J$10+$E39*J$11+$F39*J$12),0)</f>
        <v>0.0466015396306241</v>
      </c>
      <c r="O39" s="59" t="n">
        <f aca="false">IFERROR(K$7/($B39*K$8+$C39*K$9+$D39*K$10+$E39*K$11+$F39*K$12),0)</f>
        <v>0.012049488897345</v>
      </c>
      <c r="P39" s="59" t="n">
        <f aca="false">IFERROR(L$7/($B39*L$8+$C39*L$9+$D39*L$10+$E39*L$11+$F39*L$12),0)</f>
        <v>0.0506034656427613</v>
      </c>
      <c r="Q39" s="59" t="n">
        <f aca="false">IFERROR(M$7/($B39*M$8+$C39*M$9+$D39*M$10+$E39*M$11+$F39*M$12),0)</f>
        <v>0.0356806418997959</v>
      </c>
      <c r="R39" s="59" t="n">
        <f aca="false">IFERROR(N$7/($B39*N$8+$C39*N$9+$D39*N$10+$E39*N$11+$F39*N$12),0)</f>
        <v>0.0167065520946265</v>
      </c>
      <c r="S39" s="59" t="n">
        <f aca="false">B39*SUMPRODUCT($C$8:$N$8,$G39:$R39)</f>
        <v>0.250000000000105</v>
      </c>
      <c r="T39" s="59" t="n">
        <f aca="false">C39*SUMPRODUCT($C$9:$N$9,$G39:$R39)</f>
        <v>0.299999999999871</v>
      </c>
      <c r="U39" s="59" t="n">
        <f aca="false">D39*SUMPRODUCT($C$10:$N$10,$G39:$R39)</f>
        <v>0.0999999999999947</v>
      </c>
      <c r="V39" s="59" t="n">
        <f aca="false">E39*SUMPRODUCT($C$11:$N$11,$G39:$R39)</f>
        <v>0.200000000000004</v>
      </c>
      <c r="W39" s="59" t="n">
        <f aca="false">F39*SUMPRODUCT($C$12:$N$12,$G39:$R39)</f>
        <v>0.150000000000026</v>
      </c>
      <c r="X39" s="60" t="n">
        <f aca="false">ABS(S39-$B$8)+ABS(T39-$B$9)+ABS(U39-$B$10)+ABS(V39-$B$11)+ABS(W39-$B$12)</f>
        <v>2.69673172681451E-013</v>
      </c>
    </row>
    <row r="40" customFormat="false" ht="15" hidden="false" customHeight="false" outlineLevel="0" collapsed="false">
      <c r="A40" s="41" t="n">
        <v>23</v>
      </c>
      <c r="B40" s="59" t="n">
        <f aca="false">IFERROR(B39*$B$8/S39,0)</f>
        <v>0.155144239064159</v>
      </c>
      <c r="C40" s="59" t="n">
        <f aca="false">IFERROR(C39*$B$9/T39,0)</f>
        <v>0.453456955211453</v>
      </c>
      <c r="D40" s="59" t="n">
        <f aca="false">IFERROR(D39*$B$10/U39,0)</f>
        <v>0.0980145730192426</v>
      </c>
      <c r="E40" s="59" t="n">
        <f aca="false">IFERROR(E39*$B$11/V39,0)</f>
        <v>0.198759361009471</v>
      </c>
      <c r="F40" s="59" t="n">
        <f aca="false">IFERROR(F39*$B$12/W39,0)</f>
        <v>0.193623910867826</v>
      </c>
      <c r="G40" s="59" t="n">
        <f aca="false">IFERROR(C$7/($B40*C$8+$C40*C$9+$D40*C$10+$E40*C$11+$F40*C$12),0)</f>
        <v>0.28030679333785</v>
      </c>
      <c r="H40" s="59" t="n">
        <f aca="false">IFERROR(D$7/($B40*D$8+$C40*D$9+$D40*D$10+$E40*D$11+$F40*D$12),0)</f>
        <v>0.153271344977564</v>
      </c>
      <c r="I40" s="59" t="n">
        <f aca="false">IFERROR(E$7/($B40*E$8+$C40*E$9+$D40*E$10+$E40*E$11+$F40*E$12),0)</f>
        <v>0.513522129346053</v>
      </c>
      <c r="J40" s="59" t="n">
        <f aca="false">IFERROR(F$7/($B40*F$8+$C40*F$9+$D40*F$10+$E40*F$11+$F40*F$12),0)</f>
        <v>0.195863564677462</v>
      </c>
      <c r="K40" s="59" t="n">
        <f aca="false">IFERROR(G$7/($B40*G$8+$C40*G$9+$D40*G$10+$E40*G$11+$F40*G$12),0)</f>
        <v>0.0962967135306074</v>
      </c>
      <c r="L40" s="59" t="n">
        <f aca="false">IFERROR(H$7/($B40*H$8+$C40*H$9+$D40*H$10+$E40*H$11+$F40*H$12),0)</f>
        <v>0.185820919907524</v>
      </c>
      <c r="M40" s="59" t="n">
        <f aca="false">IFERROR(I$7/($B40*I$8+$C40*I$9+$D40*I$10+$E40*I$11+$F40*I$12),0)</f>
        <v>0.0413870925986089</v>
      </c>
      <c r="N40" s="59" t="n">
        <f aca="false">IFERROR(J$7/($B40*J$8+$C40*J$9+$D40*J$10+$E40*J$11+$F40*J$12),0)</f>
        <v>0.0466015396306328</v>
      </c>
      <c r="O40" s="59" t="n">
        <f aca="false">IFERROR(K$7/($B40*K$8+$C40*K$9+$D40*K$10+$E40*K$11+$F40*K$12),0)</f>
        <v>0.0120494888973424</v>
      </c>
      <c r="P40" s="59" t="n">
        <f aca="false">IFERROR(L$7/($B40*L$8+$C40*L$9+$D40*L$10+$E40*L$11+$F40*L$12),0)</f>
        <v>0.050603465642769</v>
      </c>
      <c r="Q40" s="59" t="n">
        <f aca="false">IFERROR(M$7/($B40*M$8+$C40*M$9+$D40*M$10+$E40*M$11+$F40*M$12),0)</f>
        <v>0.0356806418997903</v>
      </c>
      <c r="R40" s="59" t="n">
        <f aca="false">IFERROR(N$7/($B40*N$8+$C40*N$9+$D40*N$10+$E40*N$11+$F40*N$12),0)</f>
        <v>0.0167065520946276</v>
      </c>
      <c r="S40" s="59" t="n">
        <f aca="false">B40*SUMPRODUCT($C$8:$N$8,$G40:$R40)</f>
        <v>0.250000000000031</v>
      </c>
      <c r="T40" s="59" t="n">
        <f aca="false">C40*SUMPRODUCT($C$9:$N$9,$G40:$R40)</f>
        <v>0.299999999999962</v>
      </c>
      <c r="U40" s="59" t="n">
        <f aca="false">D40*SUMPRODUCT($C$10:$N$10,$G40:$R40)</f>
        <v>0.0999999999999984</v>
      </c>
      <c r="V40" s="59" t="n">
        <f aca="false">E40*SUMPRODUCT($C$11:$N$11,$G40:$R40)</f>
        <v>0.200000000000001</v>
      </c>
      <c r="W40" s="59" t="n">
        <f aca="false">F40*SUMPRODUCT($C$12:$N$12,$G40:$R40)</f>
        <v>0.150000000000008</v>
      </c>
      <c r="X40" s="60" t="n">
        <f aca="false">ABS(S40-$B$8)+ABS(T40-$B$9)+ABS(U40-$B$10)+ABS(V40-$B$11)+ABS(W40-$B$12)</f>
        <v>7.93670684728909E-014</v>
      </c>
    </row>
    <row r="41" customFormat="false" ht="15" hidden="false" customHeight="false" outlineLevel="0" collapsed="false">
      <c r="A41" s="41" t="n">
        <v>24</v>
      </c>
      <c r="B41" s="59" t="n">
        <f aca="false">IFERROR(B40*$B$8/S40,0)</f>
        <v>0.15514423906414</v>
      </c>
      <c r="C41" s="59" t="n">
        <f aca="false">IFERROR(C40*$B$9/T40,0)</f>
        <v>0.453456955211511</v>
      </c>
      <c r="D41" s="59" t="n">
        <f aca="false">IFERROR(D40*$B$10/U40,0)</f>
        <v>0.0980145730192441</v>
      </c>
      <c r="E41" s="59" t="n">
        <f aca="false">IFERROR(E40*$B$11/V40,0)</f>
        <v>0.198759361009469</v>
      </c>
      <c r="F41" s="59" t="n">
        <f aca="false">IFERROR(F40*$B$12/W40,0)</f>
        <v>0.193623910867816</v>
      </c>
      <c r="G41" s="59" t="n">
        <f aca="false">IFERROR(C$7/($B41*C$8+$C41*C$9+$D41*C$10+$E41*C$11+$F41*C$12),0)</f>
        <v>0.280306793337843</v>
      </c>
      <c r="H41" s="59" t="n">
        <f aca="false">IFERROR(D$7/($B41*D$8+$C41*D$9+$D41*D$10+$E41*D$11+$F41*D$12),0)</f>
        <v>0.153271344977571</v>
      </c>
      <c r="I41" s="59" t="n">
        <f aca="false">IFERROR(E$7/($B41*E$8+$C41*E$9+$D41*E$10+$E41*E$11+$F41*E$12),0)</f>
        <v>0.513522129346116</v>
      </c>
      <c r="J41" s="59" t="n">
        <f aca="false">IFERROR(F$7/($B41*F$8+$C41*F$9+$D41*F$10+$E41*F$11+$F41*F$12),0)</f>
        <v>0.195863564677454</v>
      </c>
      <c r="K41" s="59" t="n">
        <f aca="false">IFERROR(G$7/($B41*G$8+$C41*G$9+$D41*G$10+$E41*G$11+$F41*G$12),0)</f>
        <v>0.096296713530602</v>
      </c>
      <c r="L41" s="59" t="n">
        <f aca="false">IFERROR(H$7/($B41*H$8+$C41*H$9+$D41*H$10+$E41*H$11+$F41*H$12),0)</f>
        <v>0.185820919907532</v>
      </c>
      <c r="M41" s="59" t="n">
        <f aca="false">IFERROR(I$7/($B41*I$8+$C41*I$9+$D41*I$10+$E41*I$11+$F41*I$12),0)</f>
        <v>0.0413870925986078</v>
      </c>
      <c r="N41" s="59" t="n">
        <f aca="false">IFERROR(J$7/($B41*J$8+$C41*J$9+$D41*J$10+$E41*J$11+$F41*J$12),0)</f>
        <v>0.0466015396306354</v>
      </c>
      <c r="O41" s="59" t="n">
        <f aca="false">IFERROR(K$7/($B41*K$8+$C41*K$9+$D41*K$10+$E41*K$11+$F41*K$12),0)</f>
        <v>0.0120494888973417</v>
      </c>
      <c r="P41" s="59" t="n">
        <f aca="false">IFERROR(L$7/($B41*L$8+$C41*L$9+$D41*L$10+$E41*L$11+$F41*L$12),0)</f>
        <v>0.0506034656427712</v>
      </c>
      <c r="Q41" s="59" t="n">
        <f aca="false">IFERROR(M$7/($B41*M$8+$C41*M$9+$D41*M$10+$E41*M$11+$F41*M$12),0)</f>
        <v>0.0356806418997886</v>
      </c>
      <c r="R41" s="59" t="n">
        <f aca="false">IFERROR(N$7/($B41*N$8+$C41*N$9+$D41*N$10+$E41*N$11+$F41*N$12),0)</f>
        <v>0.0167065520946279</v>
      </c>
      <c r="S41" s="59" t="n">
        <f aca="false">B41*SUMPRODUCT($C$8:$N$8,$G41:$R41)</f>
        <v>0.250000000000009</v>
      </c>
      <c r="T41" s="59" t="n">
        <f aca="false">C41*SUMPRODUCT($C$9:$N$9,$G41:$R41)</f>
        <v>0.299999999999989</v>
      </c>
      <c r="U41" s="59" t="n">
        <f aca="false">D41*SUMPRODUCT($C$10:$N$10,$G41:$R41)</f>
        <v>0.0999999999999996</v>
      </c>
      <c r="V41" s="59" t="n">
        <f aca="false">E41*SUMPRODUCT($C$11:$N$11,$G41:$R41)</f>
        <v>0.2</v>
      </c>
      <c r="W41" s="59" t="n">
        <f aca="false">F41*SUMPRODUCT($C$12:$N$12,$G41:$R41)</f>
        <v>0.150000000000002</v>
      </c>
      <c r="X41" s="60" t="n">
        <f aca="false">ABS(S41-$B$8)+ABS(T41-$B$9)+ABS(U41-$B$10)+ABS(V41-$B$11)+ABS(W41-$B$12)</f>
        <v>2.30648833365876E-014</v>
      </c>
    </row>
    <row r="42" customFormat="false" ht="15" hidden="false" customHeight="false" outlineLevel="0" collapsed="false">
      <c r="A42" s="41" t="n">
        <v>25</v>
      </c>
      <c r="B42" s="59" t="n">
        <f aca="false">IFERROR(B41*$B$8/S41,0)</f>
        <v>0.155144239064134</v>
      </c>
      <c r="C42" s="59" t="n">
        <f aca="false">IFERROR(C41*$B$9/T41,0)</f>
        <v>0.453456955211528</v>
      </c>
      <c r="D42" s="59" t="n">
        <f aca="false">IFERROR(D41*$B$10/U41,0)</f>
        <v>0.0980145730192446</v>
      </c>
      <c r="E42" s="59" t="n">
        <f aca="false">IFERROR(E41*$B$11/V41,0)</f>
        <v>0.198759361009469</v>
      </c>
      <c r="F42" s="59" t="n">
        <f aca="false">IFERROR(F41*$B$12/W41,0)</f>
        <v>0.193623910867813</v>
      </c>
      <c r="G42" s="59" t="n">
        <f aca="false">IFERROR(C$7/($B42*C$8+$C42*C$9+$D42*C$10+$E42*C$11+$F42*C$12),0)</f>
        <v>0.280306793337841</v>
      </c>
      <c r="H42" s="59" t="n">
        <f aca="false">IFERROR(D$7/($B42*D$8+$C42*D$9+$D42*D$10+$E42*D$11+$F42*D$12),0)</f>
        <v>0.153271344977573</v>
      </c>
      <c r="I42" s="59" t="n">
        <f aca="false">IFERROR(E$7/($B42*E$8+$C42*E$9+$D42*E$10+$E42*E$11+$F42*E$12),0)</f>
        <v>0.513522129346135</v>
      </c>
      <c r="J42" s="59" t="n">
        <f aca="false">IFERROR(F$7/($B42*F$8+$C42*F$9+$D42*F$10+$E42*F$11+$F42*F$12),0)</f>
        <v>0.195863564677451</v>
      </c>
      <c r="K42" s="59" t="n">
        <f aca="false">IFERROR(G$7/($B42*G$8+$C42*G$9+$D42*G$10+$E42*G$11+$F42*G$12),0)</f>
        <v>0.0962967135306004</v>
      </c>
      <c r="L42" s="59" t="n">
        <f aca="false">IFERROR(H$7/($B42*H$8+$C42*H$9+$D42*H$10+$E42*H$11+$F42*H$12),0)</f>
        <v>0.185820919907535</v>
      </c>
      <c r="M42" s="59" t="n">
        <f aca="false">IFERROR(I$7/($B42*I$8+$C42*I$9+$D42*I$10+$E42*I$11+$F42*I$12),0)</f>
        <v>0.0413870925986074</v>
      </c>
      <c r="N42" s="59" t="n">
        <f aca="false">IFERROR(J$7/($B42*J$8+$C42*J$9+$D42*J$10+$E42*J$11+$F42*J$12),0)</f>
        <v>0.0466015396306362</v>
      </c>
      <c r="O42" s="59" t="n">
        <f aca="false">IFERROR(K$7/($B42*K$8+$C42*K$9+$D42*K$10+$E42*K$11+$F42*K$12),0)</f>
        <v>0.0120494888973414</v>
      </c>
      <c r="P42" s="59" t="n">
        <f aca="false">IFERROR(L$7/($B42*L$8+$C42*L$9+$D42*L$10+$E42*L$11+$F42*L$12),0)</f>
        <v>0.0506034656427719</v>
      </c>
      <c r="Q42" s="59" t="n">
        <f aca="false">IFERROR(M$7/($B42*M$8+$C42*M$9+$D42*M$10+$E42*M$11+$F42*M$12),0)</f>
        <v>0.0356806418997881</v>
      </c>
      <c r="R42" s="59" t="n">
        <f aca="false">IFERROR(N$7/($B42*N$8+$C42*N$9+$D42*N$10+$E42*N$11+$F42*N$12),0)</f>
        <v>0.016706552094628</v>
      </c>
      <c r="S42" s="59" t="n">
        <f aca="false">B42*SUMPRODUCT($C$8:$N$8,$G42:$R42)</f>
        <v>0.250000000000003</v>
      </c>
      <c r="T42" s="59" t="n">
        <f aca="false">C42*SUMPRODUCT($C$9:$N$9,$G42:$R42)</f>
        <v>0.299999999999997</v>
      </c>
      <c r="U42" s="59" t="n">
        <f aca="false">D42*SUMPRODUCT($C$10:$N$10,$G42:$R42)</f>
        <v>0.0999999999999999</v>
      </c>
      <c r="V42" s="59" t="n">
        <f aca="false">E42*SUMPRODUCT($C$11:$N$11,$G42:$R42)</f>
        <v>0.2</v>
      </c>
      <c r="W42" s="59" t="n">
        <f aca="false">F42*SUMPRODUCT($C$12:$N$12,$G42:$R42)</f>
        <v>0.150000000000001</v>
      </c>
      <c r="X42" s="60" t="n">
        <f aca="false">ABS(S42-$B$8)+ABS(T42-$B$9)+ABS(U42-$B$10)+ABS(V42-$B$11)+ABS(W42-$B$12)</f>
        <v>6.66133814775094E-015</v>
      </c>
    </row>
    <row r="43" customFormat="false" ht="15" hidden="false" customHeight="false" outlineLevel="0" collapsed="false">
      <c r="A43" s="17" t="s">
        <v>814</v>
      </c>
    </row>
    <row r="45" customFormat="false" ht="15" hidden="false" customHeight="false" outlineLevel="0" collapsed="false">
      <c r="A45" s="5" t="s">
        <v>815</v>
      </c>
    </row>
    <row r="46" customFormat="false" ht="23.85" hidden="false" customHeight="false" outlineLevel="0" collapsed="false">
      <c r="A46" s="10" t="s">
        <v>41</v>
      </c>
      <c r="B46" s="10" t="s">
        <v>816</v>
      </c>
      <c r="C46" s="10" t="s">
        <v>615</v>
      </c>
      <c r="D46" s="10" t="s">
        <v>625</v>
      </c>
      <c r="E46" s="10" t="s">
        <v>632</v>
      </c>
      <c r="F46" s="10" t="s">
        <v>637</v>
      </c>
      <c r="G46" s="10" t="s">
        <v>643</v>
      </c>
      <c r="H46" s="10" t="s">
        <v>651</v>
      </c>
      <c r="I46" s="10" t="s">
        <v>657</v>
      </c>
      <c r="J46" s="10" t="s">
        <v>663</v>
      </c>
      <c r="K46" s="10" t="s">
        <v>670</v>
      </c>
      <c r="L46" s="10" t="s">
        <v>676</v>
      </c>
      <c r="M46" s="10" t="s">
        <v>680</v>
      </c>
      <c r="N46" s="10" t="s">
        <v>686</v>
      </c>
      <c r="O46" s="10" t="s">
        <v>817</v>
      </c>
      <c r="P46" s="10" t="s">
        <v>737</v>
      </c>
    </row>
    <row r="47" customFormat="false" ht="15" hidden="false" customHeight="false" outlineLevel="0" collapsed="false">
      <c r="A47" s="11" t="s">
        <v>609</v>
      </c>
      <c r="B47" s="42" t="n">
        <f aca="false">SUM(C47:N47)</f>
        <v>0.250000000000003</v>
      </c>
      <c r="C47" s="44" t="n">
        <f aca="false">$B$42*C8*G$42</f>
        <v>0.0434879841569068</v>
      </c>
      <c r="D47" s="44" t="n">
        <f aca="false">$B$42*D8*H$42</f>
        <v>0.023779166186882</v>
      </c>
      <c r="E47" s="44" t="n">
        <f aca="false">$B$42*E8*I$42</f>
        <v>0.07967</v>
      </c>
      <c r="F47" s="44" t="n">
        <f aca="false">$B$42*F8*J$42</f>
        <v>0.030387103702272</v>
      </c>
      <c r="G47" s="44" t="n">
        <f aca="false">$B$42*G8*K$42</f>
        <v>0.0149398803450819</v>
      </c>
      <c r="H47" s="44" t="n">
        <f aca="false">$B$42*H8*L$42</f>
        <v>0.0288290452212519</v>
      </c>
      <c r="I47" s="44" t="n">
        <f aca="false">$B$42*I8*M$42</f>
        <v>0.00642096898828781</v>
      </c>
      <c r="J47" s="44" t="n">
        <f aca="false">$B$42*J8*N$42</f>
        <v>0.00722996040521214</v>
      </c>
      <c r="K47" s="44" t="n">
        <f aca="false">$B$42*K8*O$42</f>
        <v>0.00186940878608977</v>
      </c>
      <c r="L47" s="44" t="n">
        <f aca="false">$B$42*L8*P$42</f>
        <v>0.0078508361711559</v>
      </c>
      <c r="M47" s="44" t="n">
        <f aca="false">$B$42*M8*Q$42</f>
        <v>0.00553564603686249</v>
      </c>
      <c r="N47" s="44" t="n">
        <f aca="false">$B$42*N8*R$42</f>
        <v>0</v>
      </c>
      <c r="O47" s="42" t="n">
        <f aca="false">B8</f>
        <v>0.25</v>
      </c>
      <c r="P47" s="60" t="n">
        <f aca="false">ABS(B47-O47)</f>
        <v>2.66453525910038E-015</v>
      </c>
    </row>
    <row r="48" customFormat="false" ht="15" hidden="false" customHeight="false" outlineLevel="0" collapsed="false">
      <c r="A48" s="11" t="s">
        <v>610</v>
      </c>
      <c r="B48" s="42" t="n">
        <f aca="false">SUM(C48:N48)</f>
        <v>0.299999999999997</v>
      </c>
      <c r="C48" s="44" t="n">
        <f aca="false">$C$42*C9*G$42</f>
        <v>0.127107065032084</v>
      </c>
      <c r="D48" s="44" t="n">
        <f aca="false">$C$42*D9*H$42</f>
        <v>0</v>
      </c>
      <c r="E48" s="44" t="n">
        <f aca="false">$C$42*E9*I$42</f>
        <v>0</v>
      </c>
      <c r="F48" s="44" t="n">
        <f aca="false">$C$42*F9*J$42</f>
        <v>0.0888156956755133</v>
      </c>
      <c r="G48" s="44" t="n">
        <f aca="false">$C$42*G9*K$42</f>
        <v>0.0436664145144628</v>
      </c>
      <c r="H48" s="44" t="n">
        <f aca="false">$C$42*H9*L$42</f>
        <v>0</v>
      </c>
      <c r="I48" s="44" t="n">
        <f aca="false">$C$42*I9*M$42</f>
        <v>0.0187672649948221</v>
      </c>
      <c r="J48" s="44" t="n">
        <f aca="false">$C$42*J9*N$42</f>
        <v>0</v>
      </c>
      <c r="K48" s="44" t="n">
        <f aca="false">$C$42*K9*O$42</f>
        <v>0.00546392454724356</v>
      </c>
      <c r="L48" s="44" t="n">
        <f aca="false">$C$42*L9*P$42</f>
        <v>0</v>
      </c>
      <c r="M48" s="44" t="n">
        <f aca="false">$C$42*M9*Q$42</f>
        <v>0.0161796352358708</v>
      </c>
      <c r="N48" s="44" t="n">
        <f aca="false">$C$42*N9*R$42</f>
        <v>0</v>
      </c>
      <c r="O48" s="42" t="n">
        <f aca="false">B9</f>
        <v>0.3</v>
      </c>
      <c r="P48" s="60" t="n">
        <f aca="false">ABS(B48-O48)</f>
        <v>3.33066907387547E-015</v>
      </c>
    </row>
    <row r="49" customFormat="false" ht="15" hidden="false" customHeight="false" outlineLevel="0" collapsed="false">
      <c r="A49" s="11" t="s">
        <v>611</v>
      </c>
      <c r="B49" s="42" t="n">
        <f aca="false">SUM(C49:N49)</f>
        <v>0.0999999999999999</v>
      </c>
      <c r="C49" s="44" t="n">
        <f aca="false">$D$42*C10*G$42</f>
        <v>0.0274741506634021</v>
      </c>
      <c r="D49" s="44" t="n">
        <f aca="false">$D$42*D10*H$42</f>
        <v>0.0150228254340622</v>
      </c>
      <c r="E49" s="44" t="n">
        <f aca="false">$D$42*E10*I$42</f>
        <v>0</v>
      </c>
      <c r="F49" s="44" t="n">
        <f aca="false">$D$42*F10*J$42</f>
        <v>0.0191974836618876</v>
      </c>
      <c r="G49" s="44" t="n">
        <f aca="false">$D$42*G10*K$42</f>
        <v>0.00943848125985831</v>
      </c>
      <c r="H49" s="44" t="n">
        <f aca="false">$D$42*H10*L$42</f>
        <v>0.0182131581227803</v>
      </c>
      <c r="I49" s="44" t="n">
        <f aca="false">$D$42*I10*M$42</f>
        <v>0.00405653820956045</v>
      </c>
      <c r="J49" s="44" t="n">
        <f aca="false">$D$42*J10*N$42</f>
        <v>0</v>
      </c>
      <c r="K49" s="44" t="n">
        <f aca="false">$D$42*K10*O$42</f>
        <v>0</v>
      </c>
      <c r="L49" s="44" t="n">
        <f aca="false">$D$42*L10*P$42</f>
        <v>0.0049598770782703</v>
      </c>
      <c r="M49" s="44" t="n">
        <f aca="false">$D$42*M10*Q$42</f>
        <v>0</v>
      </c>
      <c r="N49" s="44" t="n">
        <f aca="false">$D$42*N10*R$42</f>
        <v>0.00163748557017873</v>
      </c>
      <c r="O49" s="42" t="n">
        <f aca="false">B10</f>
        <v>0.1</v>
      </c>
      <c r="P49" s="60" t="n">
        <f aca="false">ABS(B49-O49)</f>
        <v>0</v>
      </c>
    </row>
    <row r="50" customFormat="false" ht="15" hidden="false" customHeight="false" outlineLevel="0" collapsed="false">
      <c r="A50" s="11" t="s">
        <v>612</v>
      </c>
      <c r="B50" s="42" t="n">
        <f aca="false">SUM(C50:N50)</f>
        <v>0.2</v>
      </c>
      <c r="C50" s="44" t="n">
        <f aca="false">$E$42*C11*G$42</f>
        <v>0.0557135991304425</v>
      </c>
      <c r="D50" s="44" t="n">
        <f aca="false">$E$42*D11*H$42</f>
        <v>0.0304641145888043</v>
      </c>
      <c r="E50" s="44" t="n">
        <f aca="false">$E$42*E11*I$42</f>
        <v>0</v>
      </c>
      <c r="F50" s="44" t="n">
        <f aca="false">$E$42*F11*J$42</f>
        <v>0.0389297169603271</v>
      </c>
      <c r="G50" s="44" t="n">
        <f aca="false">$E$42*G11*K$42</f>
        <v>0</v>
      </c>
      <c r="H50" s="44" t="n">
        <f aca="false">$E$42*H11*L$42</f>
        <v>0.0369336473030133</v>
      </c>
      <c r="I50" s="44" t="n">
        <f aca="false">$E$42*I11*M$42</f>
        <v>0.00822607207893895</v>
      </c>
      <c r="J50" s="44" t="n">
        <f aca="false">$E$42*J11*N$42</f>
        <v>0.0092624922390427</v>
      </c>
      <c r="K50" s="44" t="n">
        <f aca="false">$E$42*K11*O$42</f>
        <v>0</v>
      </c>
      <c r="L50" s="44" t="n">
        <f aca="false">$E$42*L11*P$42</f>
        <v>0.010057912496022</v>
      </c>
      <c r="M50" s="44" t="n">
        <f aca="false">$E$42*M11*Q$42</f>
        <v>0.00709186158440958</v>
      </c>
      <c r="N50" s="44" t="n">
        <f aca="false">$E$42*N11*R$42</f>
        <v>0.00332058361899968</v>
      </c>
      <c r="O50" s="42" t="n">
        <f aca="false">B11</f>
        <v>0.2</v>
      </c>
      <c r="P50" s="60" t="n">
        <f aca="false">ABS(B50-O50)</f>
        <v>0</v>
      </c>
    </row>
    <row r="51" customFormat="false" ht="15" hidden="false" customHeight="false" outlineLevel="0" collapsed="false">
      <c r="A51" s="11" t="s">
        <v>613</v>
      </c>
      <c r="B51" s="42" t="n">
        <f aca="false">SUM(C51:N51)</f>
        <v>0.150000000000001</v>
      </c>
      <c r="C51" s="44" t="n">
        <f aca="false">$F$42*C12*G$42</f>
        <v>0.0542740975688886</v>
      </c>
      <c r="D51" s="44" t="n">
        <f aca="false">$F$42*D12*H$42</f>
        <v>0.0296769972385274</v>
      </c>
      <c r="E51" s="44" t="n">
        <f aca="false">$F$42*E12*I$42</f>
        <v>0</v>
      </c>
      <c r="F51" s="44" t="n">
        <f aca="false">$F$42*F12*J$42</f>
        <v>0</v>
      </c>
      <c r="G51" s="44" t="n">
        <f aca="false">$F$42*G12*K$42</f>
        <v>0</v>
      </c>
      <c r="H51" s="44" t="n">
        <f aca="false">$F$42*H12*L$42</f>
        <v>0.0359793732335516</v>
      </c>
      <c r="I51" s="44" t="n">
        <f aca="false">$F$42*I12*M$42</f>
        <v>0.0080135307283907</v>
      </c>
      <c r="J51" s="44" t="n">
        <f aca="false">$F$42*J12*N$42</f>
        <v>0.00902317235574516</v>
      </c>
      <c r="K51" s="44" t="n">
        <f aca="false">$F$42*K12*O$42</f>
        <v>0</v>
      </c>
      <c r="L51" s="44" t="n">
        <f aca="false">$F$42*L12*P$42</f>
        <v>0.00979804092121851</v>
      </c>
      <c r="M51" s="44" t="n">
        <f aca="false">$F$42*M12*Q$42</f>
        <v>0</v>
      </c>
      <c r="N51" s="44" t="n">
        <f aca="false">$F$42*N12*R$42</f>
        <v>0.00323478795367874</v>
      </c>
      <c r="O51" s="42" t="n">
        <f aca="false">B12</f>
        <v>0.15</v>
      </c>
      <c r="P51" s="60" t="n">
        <f aca="false">ABS(B51-O51)</f>
        <v>6.66133814775094E-016</v>
      </c>
    </row>
    <row r="52" customFormat="false" ht="15" hidden="false" customHeight="false" outlineLevel="0" collapsed="false">
      <c r="A52" s="11" t="s">
        <v>818</v>
      </c>
      <c r="C52" s="42" t="n">
        <f aca="false">SUM(C47:C51)</f>
        <v>0.308056896551724</v>
      </c>
      <c r="D52" s="42" t="n">
        <f aca="false">SUM(D47:D51)</f>
        <v>0.0989431034482759</v>
      </c>
      <c r="E52" s="42" t="n">
        <f aca="false">SUM(E47:E51)</f>
        <v>0.07967</v>
      </c>
      <c r="F52" s="42" t="n">
        <f aca="false">SUM(F47:F51)</f>
        <v>0.17733</v>
      </c>
      <c r="G52" s="42" t="n">
        <f aca="false">SUM(G47:G51)</f>
        <v>0.068044776119403</v>
      </c>
      <c r="H52" s="42" t="n">
        <f aca="false">SUM(H47:H51)</f>
        <v>0.119955223880597</v>
      </c>
      <c r="I52" s="42" t="n">
        <f aca="false">SUM(I47:I51)</f>
        <v>0.045484375</v>
      </c>
      <c r="J52" s="42" t="n">
        <f aca="false">SUM(J47:J51)</f>
        <v>0.025515625</v>
      </c>
      <c r="K52" s="42" t="n">
        <f aca="false">SUM(K47:K51)</f>
        <v>0.00733333333333333</v>
      </c>
      <c r="L52" s="42" t="n">
        <f aca="false">SUM(L47:L51)</f>
        <v>0.0326666666666667</v>
      </c>
      <c r="M52" s="42" t="n">
        <f aca="false">SUM(M47:M51)</f>
        <v>0.0288071428571428</v>
      </c>
      <c r="N52" s="42" t="n">
        <f aca="false">SUM(N47:N51)</f>
        <v>0.00819285714285714</v>
      </c>
    </row>
    <row r="53" customFormat="false" ht="15" hidden="false" customHeight="false" outlineLevel="0" collapsed="false">
      <c r="A53" s="11" t="s">
        <v>819</v>
      </c>
      <c r="C53" s="42" t="n">
        <f aca="false">C$7</f>
        <v>0.308056896551724</v>
      </c>
      <c r="D53" s="42" t="n">
        <f aca="false">D$7</f>
        <v>0.0989431034482759</v>
      </c>
      <c r="E53" s="42" t="n">
        <f aca="false">E$7</f>
        <v>0.07967</v>
      </c>
      <c r="F53" s="42" t="n">
        <f aca="false">F$7</f>
        <v>0.17733</v>
      </c>
      <c r="G53" s="42" t="n">
        <f aca="false">G$7</f>
        <v>0.068044776119403</v>
      </c>
      <c r="H53" s="42" t="n">
        <f aca="false">H$7</f>
        <v>0.119955223880597</v>
      </c>
      <c r="I53" s="42" t="n">
        <f aca="false">I$7</f>
        <v>0.045484375</v>
      </c>
      <c r="J53" s="42" t="n">
        <f aca="false">J$7</f>
        <v>0.025515625</v>
      </c>
      <c r="K53" s="42" t="n">
        <f aca="false">K$7</f>
        <v>0.00733333333333333</v>
      </c>
      <c r="L53" s="42" t="n">
        <f aca="false">L$7</f>
        <v>0.0326666666666667</v>
      </c>
      <c r="M53" s="42" t="n">
        <f aca="false">M$7</f>
        <v>0.0288071428571429</v>
      </c>
      <c r="N53" s="42" t="n">
        <f aca="false">N$7</f>
        <v>0.00819285714285715</v>
      </c>
    </row>
    <row r="54" customFormat="false" ht="15" hidden="false" customHeight="false" outlineLevel="0" collapsed="false">
      <c r="A54" s="11" t="s">
        <v>737</v>
      </c>
      <c r="C54" s="60" t="n">
        <f aca="false">ABS(C52-C53)</f>
        <v>0</v>
      </c>
      <c r="D54" s="60" t="n">
        <f aca="false">ABS(D52-D53)</f>
        <v>0</v>
      </c>
      <c r="E54" s="60" t="n">
        <f aca="false">ABS(E52-E53)</f>
        <v>0</v>
      </c>
      <c r="F54" s="60" t="n">
        <f aca="false">ABS(F52-F53)</f>
        <v>0</v>
      </c>
      <c r="G54" s="60" t="n">
        <f aca="false">ABS(G52-G53)</f>
        <v>0</v>
      </c>
      <c r="H54" s="60" t="n">
        <f aca="false">ABS(H52-H53)</f>
        <v>0</v>
      </c>
      <c r="I54" s="60" t="n">
        <f aca="false">ABS(I52-I53)</f>
        <v>0</v>
      </c>
      <c r="J54" s="60" t="n">
        <f aca="false">ABS(J52-J53)</f>
        <v>0</v>
      </c>
      <c r="K54" s="60" t="n">
        <f aca="false">ABS(K52-K53)</f>
        <v>0</v>
      </c>
      <c r="L54" s="60" t="n">
        <f aca="false">ABS(L52-L53)</f>
        <v>0</v>
      </c>
      <c r="M54" s="60" t="n">
        <f aca="false">ABS(M52-M53)</f>
        <v>0</v>
      </c>
      <c r="N54" s="60" t="n">
        <f aca="false">ABS(N52-N53)</f>
        <v>0</v>
      </c>
    </row>
    <row r="56" customFormat="false" ht="15" hidden="false" customHeight="false" outlineLevel="0" collapsed="false">
      <c r="A56" s="5" t="s">
        <v>820</v>
      </c>
    </row>
    <row r="57" customFormat="false" ht="15" hidden="false" customHeight="false" outlineLevel="0" collapsed="false">
      <c r="A57" s="10" t="s">
        <v>41</v>
      </c>
      <c r="B57" s="10" t="s">
        <v>821</v>
      </c>
      <c r="C57" s="10" t="s">
        <v>615</v>
      </c>
      <c r="D57" s="10" t="s">
        <v>625</v>
      </c>
      <c r="E57" s="10" t="s">
        <v>632</v>
      </c>
      <c r="F57" s="10" t="s">
        <v>637</v>
      </c>
      <c r="G57" s="10" t="s">
        <v>643</v>
      </c>
      <c r="H57" s="10" t="s">
        <v>651</v>
      </c>
      <c r="I57" s="10" t="s">
        <v>657</v>
      </c>
      <c r="J57" s="10" t="s">
        <v>663</v>
      </c>
      <c r="K57" s="10" t="s">
        <v>670</v>
      </c>
      <c r="L57" s="10" t="s">
        <v>676</v>
      </c>
      <c r="M57" s="10" t="s">
        <v>680</v>
      </c>
      <c r="N57" s="10" t="s">
        <v>686</v>
      </c>
    </row>
    <row r="58" customFormat="false" ht="15" hidden="false" customHeight="false" outlineLevel="0" collapsed="false">
      <c r="A58" s="11" t="s">
        <v>609</v>
      </c>
      <c r="B58" s="42" t="n">
        <f aca="false">SUM(C58:N58)</f>
        <v>1</v>
      </c>
      <c r="C58" s="42" t="n">
        <f aca="false">IFERROR(C47/$B47,0)</f>
        <v>0.173951936627625</v>
      </c>
      <c r="D58" s="42" t="n">
        <f aca="false">IFERROR(D47/$B47,0)</f>
        <v>0.0951166647475268</v>
      </c>
      <c r="E58" s="42" t="n">
        <f aca="false">IFERROR(E47/$B47,0)</f>
        <v>0.318679999999997</v>
      </c>
      <c r="F58" s="42" t="n">
        <f aca="false">IFERROR(F47/$B47,0)</f>
        <v>0.121548414809087</v>
      </c>
      <c r="G58" s="42" t="n">
        <f aca="false">IFERROR(G47/$B47,0)</f>
        <v>0.059759521380327</v>
      </c>
      <c r="H58" s="42" t="n">
        <f aca="false">IFERROR(H47/$B47,0)</f>
        <v>0.115316180885006</v>
      </c>
      <c r="I58" s="42" t="n">
        <f aca="false">IFERROR(I47/$B47,0)</f>
        <v>0.025683875953151</v>
      </c>
      <c r="J58" s="42" t="n">
        <f aca="false">IFERROR(J47/$B47,0)</f>
        <v>0.0289198416208482</v>
      </c>
      <c r="K58" s="42" t="n">
        <f aca="false">IFERROR(K47/$B47,0)</f>
        <v>0.00747763514435901</v>
      </c>
      <c r="L58" s="42" t="n">
        <f aca="false">IFERROR(L47/$B47,0)</f>
        <v>0.0314033446846233</v>
      </c>
      <c r="M58" s="42" t="n">
        <f aca="false">IFERROR(M47/$B47,0)</f>
        <v>0.0221425841474497</v>
      </c>
      <c r="N58" s="42" t="n">
        <f aca="false">IFERROR(N47/$B47,0)</f>
        <v>0</v>
      </c>
    </row>
    <row r="59" customFormat="false" ht="15" hidden="false" customHeight="false" outlineLevel="0" collapsed="false">
      <c r="A59" s="11" t="s">
        <v>610</v>
      </c>
      <c r="B59" s="42" t="n">
        <f aca="false">SUM(C59:N59)</f>
        <v>1</v>
      </c>
      <c r="C59" s="42" t="n">
        <f aca="false">IFERROR(C48/$B48,0)</f>
        <v>0.423690216773619</v>
      </c>
      <c r="D59" s="42" t="n">
        <f aca="false">IFERROR(D48/$B48,0)</f>
        <v>0</v>
      </c>
      <c r="E59" s="42" t="n">
        <f aca="false">IFERROR(E48/$B48,0)</f>
        <v>0</v>
      </c>
      <c r="F59" s="42" t="n">
        <f aca="false">IFERROR(F48/$B48,0)</f>
        <v>0.296052318918381</v>
      </c>
      <c r="G59" s="42" t="n">
        <f aca="false">IFERROR(G48/$B48,0)</f>
        <v>0.145554715048211</v>
      </c>
      <c r="H59" s="42" t="n">
        <f aca="false">IFERROR(H48/$B48,0)</f>
        <v>0</v>
      </c>
      <c r="I59" s="42" t="n">
        <f aca="false">IFERROR(I48/$B48,0)</f>
        <v>0.062557549982741</v>
      </c>
      <c r="J59" s="42" t="n">
        <f aca="false">IFERROR(J48/$B48,0)</f>
        <v>0</v>
      </c>
      <c r="K59" s="42" t="n">
        <f aca="false">IFERROR(K48/$B48,0)</f>
        <v>0.0182130818241454</v>
      </c>
      <c r="L59" s="42" t="n">
        <f aca="false">IFERROR(L48/$B48,0)</f>
        <v>0</v>
      </c>
      <c r="M59" s="42" t="n">
        <f aca="false">IFERROR(M48/$B48,0)</f>
        <v>0.0539321174529032</v>
      </c>
      <c r="N59" s="42" t="n">
        <f aca="false">IFERROR(N48/$B48,0)</f>
        <v>0</v>
      </c>
    </row>
    <row r="60" customFormat="false" ht="15" hidden="false" customHeight="false" outlineLevel="0" collapsed="false">
      <c r="A60" s="11" t="s">
        <v>611</v>
      </c>
      <c r="B60" s="42" t="n">
        <f aca="false">SUM(C60:N60)</f>
        <v>1</v>
      </c>
      <c r="C60" s="42" t="n">
        <f aca="false">IFERROR(C49/$B49,0)</f>
        <v>0.274741506634021</v>
      </c>
      <c r="D60" s="42" t="n">
        <f aca="false">IFERROR(D49/$B49,0)</f>
        <v>0.150228254340622</v>
      </c>
      <c r="E60" s="42" t="n">
        <f aca="false">IFERROR(E49/$B49,0)</f>
        <v>0</v>
      </c>
      <c r="F60" s="42" t="n">
        <f aca="false">IFERROR(F49/$B49,0)</f>
        <v>0.191974836618876</v>
      </c>
      <c r="G60" s="42" t="n">
        <f aca="false">IFERROR(G49/$B49,0)</f>
        <v>0.0943848125985832</v>
      </c>
      <c r="H60" s="42" t="n">
        <f aca="false">IFERROR(H49/$B49,0)</f>
        <v>0.182131581227803</v>
      </c>
      <c r="I60" s="42" t="n">
        <f aca="false">IFERROR(I49/$B49,0)</f>
        <v>0.0405653820956045</v>
      </c>
      <c r="J60" s="42" t="n">
        <f aca="false">IFERROR(J49/$B49,0)</f>
        <v>0</v>
      </c>
      <c r="K60" s="42" t="n">
        <f aca="false">IFERROR(K49/$B49,0)</f>
        <v>0</v>
      </c>
      <c r="L60" s="42" t="n">
        <f aca="false">IFERROR(L49/$B49,0)</f>
        <v>0.049598770782703</v>
      </c>
      <c r="M60" s="42" t="n">
        <f aca="false">IFERROR(M49/$B49,0)</f>
        <v>0</v>
      </c>
      <c r="N60" s="42" t="n">
        <f aca="false">IFERROR(N49/$B49,0)</f>
        <v>0.0163748557017874</v>
      </c>
    </row>
    <row r="61" customFormat="false" ht="15" hidden="false" customHeight="false" outlineLevel="0" collapsed="false">
      <c r="A61" s="11" t="s">
        <v>612</v>
      </c>
      <c r="B61" s="42" t="n">
        <f aca="false">SUM(C61:N61)</f>
        <v>1</v>
      </c>
      <c r="C61" s="42" t="n">
        <f aca="false">IFERROR(C50/$B50,0)</f>
        <v>0.278567995652212</v>
      </c>
      <c r="D61" s="42" t="n">
        <f aca="false">IFERROR(D50/$B50,0)</f>
        <v>0.152320572944022</v>
      </c>
      <c r="E61" s="42" t="n">
        <f aca="false">IFERROR(E50/$B50,0)</f>
        <v>0</v>
      </c>
      <c r="F61" s="42" t="n">
        <f aca="false">IFERROR(F50/$B50,0)</f>
        <v>0.194648584801635</v>
      </c>
      <c r="G61" s="42" t="n">
        <f aca="false">IFERROR(G50/$B50,0)</f>
        <v>0</v>
      </c>
      <c r="H61" s="42" t="n">
        <f aca="false">IFERROR(H50/$B50,0)</f>
        <v>0.184668236515067</v>
      </c>
      <c r="I61" s="42" t="n">
        <f aca="false">IFERROR(I50/$B50,0)</f>
        <v>0.0411303603946947</v>
      </c>
      <c r="J61" s="42" t="n">
        <f aca="false">IFERROR(J50/$B50,0)</f>
        <v>0.0463124611952135</v>
      </c>
      <c r="K61" s="42" t="n">
        <f aca="false">IFERROR(K50/$B50,0)</f>
        <v>0</v>
      </c>
      <c r="L61" s="42" t="n">
        <f aca="false">IFERROR(L50/$B50,0)</f>
        <v>0.0502895624801098</v>
      </c>
      <c r="M61" s="42" t="n">
        <f aca="false">IFERROR(M50/$B50,0)</f>
        <v>0.0354593079220479</v>
      </c>
      <c r="N61" s="42" t="n">
        <f aca="false">IFERROR(N50/$B50,0)</f>
        <v>0.0166029180949984</v>
      </c>
    </row>
    <row r="62" customFormat="false" ht="15" hidden="false" customHeight="false" outlineLevel="0" collapsed="false">
      <c r="A62" s="11" t="s">
        <v>613</v>
      </c>
      <c r="B62" s="42" t="n">
        <f aca="false">SUM(C62:N62)</f>
        <v>1</v>
      </c>
      <c r="C62" s="42" t="n">
        <f aca="false">IFERROR(C51/$B51,0)</f>
        <v>0.361827317125922</v>
      </c>
      <c r="D62" s="42" t="n">
        <f aca="false">IFERROR(D51/$B51,0)</f>
        <v>0.197846648256849</v>
      </c>
      <c r="E62" s="42" t="n">
        <f aca="false">IFERROR(E51/$B51,0)</f>
        <v>0</v>
      </c>
      <c r="F62" s="42" t="n">
        <f aca="false">IFERROR(F51/$B51,0)</f>
        <v>0</v>
      </c>
      <c r="G62" s="42" t="n">
        <f aca="false">IFERROR(G51/$B51,0)</f>
        <v>0</v>
      </c>
      <c r="H62" s="42" t="n">
        <f aca="false">IFERROR(H51/$B51,0)</f>
        <v>0.239862488223676</v>
      </c>
      <c r="I62" s="42" t="n">
        <f aca="false">IFERROR(I51/$B51,0)</f>
        <v>0.0534235381892711</v>
      </c>
      <c r="J62" s="42" t="n">
        <f aca="false">IFERROR(J51/$B51,0)</f>
        <v>0.0601544823716341</v>
      </c>
      <c r="K62" s="42" t="n">
        <f aca="false">IFERROR(K51/$B51,0)</f>
        <v>0</v>
      </c>
      <c r="L62" s="42" t="n">
        <f aca="false">IFERROR(L51/$B51,0)</f>
        <v>0.0653202728081231</v>
      </c>
      <c r="M62" s="42" t="n">
        <f aca="false">IFERROR(M51/$B51,0)</f>
        <v>0</v>
      </c>
      <c r="N62" s="42" t="n">
        <f aca="false">IFERROR(N51/$B51,0)</f>
        <v>0.0215652530245248</v>
      </c>
    </row>
    <row r="64" customFormat="false" ht="15" hidden="false" customHeight="false" outlineLevel="0" collapsed="false">
      <c r="A64" s="5" t="s">
        <v>822</v>
      </c>
    </row>
    <row r="65" customFormat="false" ht="15" hidden="false" customHeight="false" outlineLevel="0" collapsed="false">
      <c r="A65" s="10" t="s">
        <v>41</v>
      </c>
      <c r="B65" s="10" t="s">
        <v>480</v>
      </c>
      <c r="C65" s="10" t="s">
        <v>491</v>
      </c>
      <c r="D65" s="10" t="s">
        <v>495</v>
      </c>
      <c r="E65" s="10" t="s">
        <v>501</v>
      </c>
      <c r="F65" s="10" t="s">
        <v>506</v>
      </c>
      <c r="G65" s="10" t="s">
        <v>510</v>
      </c>
    </row>
    <row r="66" customFormat="false" ht="15" hidden="false" customHeight="false" outlineLevel="0" collapsed="false">
      <c r="A66" s="11" t="s">
        <v>609</v>
      </c>
      <c r="B66" s="42" t="n">
        <f aca="false">SUMIF($C$6:$N$6,B$65,$C58:$N58)</f>
        <v>0.269068601375152</v>
      </c>
      <c r="C66" s="42" t="n">
        <f aca="false">SUMIF($C$6:$N$6,C$65,$C58:$N58)</f>
        <v>0.440228414809084</v>
      </c>
      <c r="D66" s="42" t="n">
        <f aca="false">SUMIF($C$6:$N$6,D$65,$C58:$N58)</f>
        <v>0.175075702265333</v>
      </c>
      <c r="E66" s="42" t="n">
        <f aca="false">SUMIF($C$6:$N$6,E$65,$C58:$N58)</f>
        <v>0.0546037175739992</v>
      </c>
      <c r="F66" s="42" t="n">
        <f aca="false">SUMIF($C$6:$N$6,F$65,$C58:$N58)</f>
        <v>0.0388809798289823</v>
      </c>
      <c r="G66" s="42" t="n">
        <f aca="false">SUMIF($C$6:$N$6,G$65,$C58:$N58)</f>
        <v>0.0221425841474497</v>
      </c>
    </row>
    <row r="67" customFormat="false" ht="15" hidden="false" customHeight="false" outlineLevel="0" collapsed="false">
      <c r="A67" s="11" t="s">
        <v>610</v>
      </c>
      <c r="B67" s="42" t="n">
        <f aca="false">SUMIF($C$6:$N$6,B$65,$C59:$N59)</f>
        <v>0.423690216773619</v>
      </c>
      <c r="C67" s="42" t="n">
        <f aca="false">SUMIF($C$6:$N$6,C$65,$C59:$N59)</f>
        <v>0.296052318918381</v>
      </c>
      <c r="D67" s="42" t="n">
        <f aca="false">SUMIF($C$6:$N$6,D$65,$C59:$N59)</f>
        <v>0.145554715048211</v>
      </c>
      <c r="E67" s="42" t="n">
        <f aca="false">SUMIF($C$6:$N$6,E$65,$C59:$N59)</f>
        <v>0.062557549982741</v>
      </c>
      <c r="F67" s="42" t="n">
        <f aca="false">SUMIF($C$6:$N$6,F$65,$C59:$N59)</f>
        <v>0.0182130818241454</v>
      </c>
      <c r="G67" s="42" t="n">
        <f aca="false">SUMIF($C$6:$N$6,G$65,$C59:$N59)</f>
        <v>0.0539321174529032</v>
      </c>
    </row>
    <row r="68" customFormat="false" ht="15" hidden="false" customHeight="false" outlineLevel="0" collapsed="false">
      <c r="A68" s="11" t="s">
        <v>611</v>
      </c>
      <c r="B68" s="42" t="n">
        <f aca="false">SUMIF($C$6:$N$6,B$65,$C60:$N60)</f>
        <v>0.424969760974643</v>
      </c>
      <c r="C68" s="42" t="n">
        <f aca="false">SUMIF($C$6:$N$6,C$65,$C60:$N60)</f>
        <v>0.191974836618876</v>
      </c>
      <c r="D68" s="42" t="n">
        <f aca="false">SUMIF($C$6:$N$6,D$65,$C60:$N60)</f>
        <v>0.276516393826386</v>
      </c>
      <c r="E68" s="42" t="n">
        <f aca="false">SUMIF($C$6:$N$6,E$65,$C60:$N60)</f>
        <v>0.0405653820956045</v>
      </c>
      <c r="F68" s="42" t="n">
        <f aca="false">SUMIF($C$6:$N$6,F$65,$C60:$N60)</f>
        <v>0.049598770782703</v>
      </c>
      <c r="G68" s="42" t="n">
        <f aca="false">SUMIF($C$6:$N$6,G$65,$C60:$N60)</f>
        <v>0.0163748557017874</v>
      </c>
    </row>
    <row r="69" customFormat="false" ht="15" hidden="false" customHeight="false" outlineLevel="0" collapsed="false">
      <c r="A69" s="11" t="s">
        <v>612</v>
      </c>
      <c r="B69" s="42" t="n">
        <f aca="false">SUMIF($C$6:$N$6,B$65,$C61:$N61)</f>
        <v>0.430888568596234</v>
      </c>
      <c r="C69" s="42" t="n">
        <f aca="false">SUMIF($C$6:$N$6,C$65,$C61:$N61)</f>
        <v>0.194648584801635</v>
      </c>
      <c r="D69" s="42" t="n">
        <f aca="false">SUMIF($C$6:$N$6,D$65,$C61:$N61)</f>
        <v>0.184668236515067</v>
      </c>
      <c r="E69" s="42" t="n">
        <f aca="false">SUMIF($C$6:$N$6,E$65,$C61:$N61)</f>
        <v>0.0874428215899082</v>
      </c>
      <c r="F69" s="42" t="n">
        <f aca="false">SUMIF($C$6:$N$6,F$65,$C61:$N61)</f>
        <v>0.0502895624801098</v>
      </c>
      <c r="G69" s="42" t="n">
        <f aca="false">SUMIF($C$6:$N$6,G$65,$C61:$N61)</f>
        <v>0.0520622260170462</v>
      </c>
    </row>
    <row r="70" customFormat="false" ht="15" hidden="false" customHeight="false" outlineLevel="0" collapsed="false">
      <c r="A70" s="11" t="s">
        <v>613</v>
      </c>
      <c r="B70" s="42" t="n">
        <f aca="false">SUMIF($C$6:$N$6,B$65,$C62:$N62)</f>
        <v>0.559673965382771</v>
      </c>
      <c r="C70" s="42" t="n">
        <f aca="false">SUMIF($C$6:$N$6,C$65,$C62:$N62)</f>
        <v>0</v>
      </c>
      <c r="D70" s="42" t="n">
        <f aca="false">SUMIF($C$6:$N$6,D$65,$C62:$N62)</f>
        <v>0.239862488223676</v>
      </c>
      <c r="E70" s="42" t="n">
        <f aca="false">SUMIF($C$6:$N$6,E$65,$C62:$N62)</f>
        <v>0.113578020560905</v>
      </c>
      <c r="F70" s="42" t="n">
        <f aca="false">SUMIF($C$6:$N$6,F$65,$C62:$N62)</f>
        <v>0.0653202728081231</v>
      </c>
      <c r="G70" s="42" t="n">
        <f aca="false">SUMIF($C$6:$N$6,G$65,$C62:$N62)</f>
        <v>0.0215652530245248</v>
      </c>
    </row>
    <row r="72" customFormat="false" ht="15" hidden="false" customHeight="false" outlineLevel="0" collapsed="false">
      <c r="A72" s="5" t="s">
        <v>823</v>
      </c>
    </row>
    <row r="73" customFormat="false" ht="15" hidden="false" customHeight="false" outlineLevel="0" collapsed="false">
      <c r="A73" s="11" t="s">
        <v>824</v>
      </c>
      <c r="B73" s="42" t="n">
        <f aca="false">SUM(B8:B12)</f>
        <v>1</v>
      </c>
      <c r="C73" s="11" t="str">
        <f aca="false">IF(ABS(B73-1)&lt;0.0001,"OK","Revisar: las proporciones deben sumar 100 %")</f>
        <v>OK</v>
      </c>
      <c r="D73" s="11"/>
      <c r="E73" s="11"/>
      <c r="F73" s="11"/>
      <c r="G73" s="11"/>
      <c r="H73" s="11"/>
      <c r="I73" s="11"/>
      <c r="J73" s="11"/>
      <c r="K73" s="11"/>
      <c r="L73" s="11"/>
    </row>
    <row r="74" customFormat="false" ht="15" hidden="false" customHeight="false" outlineLevel="0" collapsed="false">
      <c r="A74" s="11" t="s">
        <v>825</v>
      </c>
      <c r="B74" s="60" t="n">
        <f aca="false">X42</f>
        <v>6.66133814775094E-015</v>
      </c>
      <c r="C74" s="11" t="str">
        <f aca="false">IF(B74&lt;0.000001,"OK","Revisar: la proporción de tipos no es compatible con la matriz de aplicación")</f>
        <v>OK</v>
      </c>
      <c r="D74" s="11"/>
      <c r="E74" s="11"/>
      <c r="F74" s="11"/>
      <c r="G74" s="11"/>
      <c r="H74" s="11"/>
      <c r="I74" s="11"/>
      <c r="J74" s="11"/>
      <c r="K74" s="11"/>
      <c r="L74" s="11"/>
    </row>
    <row r="75" customFormat="false" ht="23.85" hidden="false" customHeight="false" outlineLevel="0" collapsed="false">
      <c r="A75" s="11" t="s">
        <v>826</v>
      </c>
      <c r="B75" s="60" t="n">
        <f aca="false">MAX(C54:N54)</f>
        <v>0</v>
      </c>
      <c r="C75" s="11" t="str">
        <f aca="false">IF(B75&lt;0.000001,"OK","Revisar")</f>
        <v>OK</v>
      </c>
      <c r="D75" s="11"/>
      <c r="E75" s="11"/>
      <c r="F75" s="11"/>
      <c r="G75" s="11"/>
      <c r="H75" s="11"/>
      <c r="I75" s="11"/>
      <c r="J75" s="11"/>
      <c r="K75" s="11"/>
      <c r="L75" s="11"/>
    </row>
    <row r="76" customFormat="false" ht="23.85" hidden="false" customHeight="false" outlineLevel="0" collapsed="false">
      <c r="A76" s="11" t="s">
        <v>827</v>
      </c>
      <c r="B76" s="41" t="n">
        <f aca="false">COUNTIF(C13:N13,0)</f>
        <v>0</v>
      </c>
      <c r="C76" s="11" t="str">
        <f aca="false">IF(B76=0,"OK","Revisar: hay métodos sin tipo de muestra en la hoja Catálogo")</f>
        <v>OK</v>
      </c>
      <c r="D76" s="11"/>
      <c r="E76" s="11"/>
      <c r="F76" s="11"/>
      <c r="G76" s="11"/>
      <c r="H76" s="11"/>
      <c r="I76" s="11"/>
      <c r="J76" s="11"/>
      <c r="K76" s="11"/>
      <c r="L76" s="11"/>
    </row>
    <row r="77" customFormat="false" ht="23.85" hidden="false" customHeight="false" outlineLevel="0" collapsed="false">
      <c r="A77" s="11" t="s">
        <v>828</v>
      </c>
      <c r="B77" s="43" t="n">
        <f aca="false">SUM('Tipos de muestra'!O5:O9)</f>
        <v>44.8737311204777</v>
      </c>
      <c r="C77" s="11" t="str">
        <f aca="false">"Referencia: 30 a 40 trabajos por día (Cunha et al., 2019, pp. 1424–1425)"</f>
        <v>Referencia: 30 a 40 trabajos por día (Cunha et al., 2019, pp. 1424–1425)</v>
      </c>
      <c r="D77" s="11"/>
      <c r="E77" s="11"/>
      <c r="F77" s="11"/>
      <c r="G77" s="11"/>
      <c r="H77" s="11"/>
      <c r="I77" s="11"/>
      <c r="J77" s="11"/>
      <c r="K77" s="11"/>
      <c r="L77" s="11"/>
    </row>
    <row r="78" customFormat="false" ht="23.85" hidden="false" customHeight="false" outlineLevel="0" collapsed="false">
      <c r="A78" s="11" t="s">
        <v>829</v>
      </c>
      <c r="B78" s="43" t="n">
        <f aca="false">B77*Demanda!$C$22</f>
        <v>53.8484773445732</v>
      </c>
      <c r="C78" s="11" t="str">
        <f aca="false">"Referencia: 35 a 52 operaciones por día (Cunha et al., 2019, pp. 1424–1425)"</f>
        <v>Referencia: 35 a 52 operaciones por día (Cunha et al., 2019, pp. 1424–1425)</v>
      </c>
      <c r="D78" s="11"/>
      <c r="E78" s="11"/>
      <c r="F78" s="11"/>
      <c r="G78" s="11"/>
      <c r="H78" s="11"/>
      <c r="I78" s="11"/>
      <c r="J78" s="11"/>
      <c r="K78" s="11"/>
      <c r="L78" s="11"/>
    </row>
    <row r="79" customFormat="false" ht="23.85" hidden="false" customHeight="false" outlineLevel="0" collapsed="false">
      <c r="A79" s="11" t="s">
        <v>830</v>
      </c>
      <c r="B79" s="43" t="n">
        <f aca="false">'Tipos de muestra'!O6</f>
        <v>10.4952054794521</v>
      </c>
      <c r="C79" s="11" t="str">
        <f aca="false">""</f>
        <v/>
      </c>
      <c r="D79" s="11"/>
      <c r="E79" s="11"/>
      <c r="F79" s="11"/>
      <c r="G79" s="11"/>
      <c r="H79" s="11"/>
      <c r="I79" s="11"/>
      <c r="J79" s="11"/>
      <c r="K79" s="11"/>
      <c r="L79" s="11"/>
    </row>
  </sheetData>
  <mergeCells count="7">
    <mergeCell ref="C73:L73"/>
    <mergeCell ref="C74:L74"/>
    <mergeCell ref="C75:L75"/>
    <mergeCell ref="C76:L76"/>
    <mergeCell ref="C77:L77"/>
    <mergeCell ref="C78:L78"/>
    <mergeCell ref="C79:L79"/>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32"/>
    <col collapsed="false" customWidth="true" hidden="false" outlineLevel="0" max="4" min="4" style="0" width="9"/>
    <col collapsed="false" customWidth="true" hidden="false" outlineLevel="0" max="16" min="5" style="0" width="6"/>
    <col collapsed="false" customWidth="true" hidden="false" outlineLevel="0" max="20" min="17" style="0" width="12"/>
    <col collapsed="false" customWidth="true" hidden="false" outlineLevel="0" max="22" min="21" style="0" width="11"/>
    <col collapsed="false" customWidth="true" hidden="false" outlineLevel="0" max="23" min="23" style="0" width="46"/>
  </cols>
  <sheetData>
    <row r="1" customFormat="false" ht="17.35" hidden="false" customHeight="false" outlineLevel="0" collapsed="false">
      <c r="A1" s="1" t="s">
        <v>48</v>
      </c>
    </row>
    <row r="2" customFormat="false" ht="15" hidden="false" customHeight="false" outlineLevel="0" collapsed="false">
      <c r="A2" s="2" t="s">
        <v>831</v>
      </c>
    </row>
    <row r="3" customFormat="false" ht="15" hidden="false" customHeight="false" outlineLevel="0" collapsed="false">
      <c r="A3" s="17" t="s">
        <v>832</v>
      </c>
    </row>
    <row r="4" customFormat="false" ht="46.25" hidden="false" customHeight="false" outlineLevel="0" collapsed="false">
      <c r="A4" s="10" t="s">
        <v>749</v>
      </c>
      <c r="B4" s="10" t="s">
        <v>469</v>
      </c>
      <c r="C4" s="10" t="s">
        <v>833</v>
      </c>
      <c r="D4" s="10" t="s">
        <v>834</v>
      </c>
      <c r="E4" s="10" t="s">
        <v>615</v>
      </c>
      <c r="F4" s="10" t="s">
        <v>625</v>
      </c>
      <c r="G4" s="10" t="s">
        <v>632</v>
      </c>
      <c r="H4" s="10" t="s">
        <v>637</v>
      </c>
      <c r="I4" s="10" t="s">
        <v>643</v>
      </c>
      <c r="J4" s="10" t="s">
        <v>651</v>
      </c>
      <c r="K4" s="10" t="s">
        <v>657</v>
      </c>
      <c r="L4" s="10" t="s">
        <v>663</v>
      </c>
      <c r="M4" s="10" t="s">
        <v>670</v>
      </c>
      <c r="N4" s="10" t="s">
        <v>676</v>
      </c>
      <c r="O4" s="10" t="s">
        <v>680</v>
      </c>
      <c r="P4" s="10" t="s">
        <v>686</v>
      </c>
      <c r="Q4" s="10" t="s">
        <v>835</v>
      </c>
      <c r="R4" s="10" t="s">
        <v>836</v>
      </c>
      <c r="S4" s="10" t="s">
        <v>837</v>
      </c>
      <c r="T4" s="10" t="s">
        <v>838</v>
      </c>
      <c r="U4" s="10" t="s">
        <v>839</v>
      </c>
      <c r="V4" s="10" t="s">
        <v>840</v>
      </c>
      <c r="W4" s="10" t="s">
        <v>764</v>
      </c>
    </row>
    <row r="5" customFormat="false" ht="23.85" hidden="false" customHeight="false" outlineLevel="0" collapsed="false">
      <c r="A5" s="11" t="s">
        <v>841</v>
      </c>
      <c r="B5" s="11" t="s">
        <v>480</v>
      </c>
      <c r="C5" s="11" t="s">
        <v>842</v>
      </c>
      <c r="D5" s="40" t="n">
        <v>15</v>
      </c>
      <c r="E5" s="40" t="s">
        <v>623</v>
      </c>
      <c r="F5" s="40" t="s">
        <v>623</v>
      </c>
      <c r="G5" s="40"/>
      <c r="H5" s="40"/>
      <c r="I5" s="40"/>
      <c r="J5" s="40"/>
      <c r="K5" s="40"/>
      <c r="L5" s="40"/>
      <c r="M5" s="40"/>
      <c r="N5" s="40"/>
      <c r="O5" s="40"/>
      <c r="P5" s="40"/>
      <c r="Q5" s="58" t="n">
        <f aca="false">SUMIF('Calibración de recursos'!$C$6:$C$17,A5,'Calibración de recursos'!$H$6:$H$17)</f>
        <v>5113.91522765301</v>
      </c>
      <c r="R5" s="43" t="n">
        <f aca="false">'Calibración de recursos'!$B$22*Q5/SUM($Q$5:$Q$14)</f>
        <v>15.9124001004189</v>
      </c>
      <c r="S5" s="43" t="n">
        <f aca="false">IF(R5&lt;2,2,('Calibración de recursos'!$B$22-2*COUNTIF($R$5:$R$14,"&lt;2"))*Q5/(SUM($Q$5:$Q$14)-SUMIF($R$5:$R$14,"&lt;2",$Q$5:$Q$14)))</f>
        <v>15.227151925111</v>
      </c>
      <c r="T5" s="43" t="n">
        <f aca="false">D5-S5</f>
        <v>-0.227151925111016</v>
      </c>
      <c r="U5" s="42" t="n">
        <f aca="false">IFERROR(Q5/(D5*24*Demanda!$B$14),"")</f>
        <v>0.0389186851419559</v>
      </c>
      <c r="V5" s="42" t="n">
        <f aca="false">IFERROR(U5*Demanda!$B$29,"")</f>
        <v>0.0583780277129339</v>
      </c>
      <c r="W5" s="11" t="s">
        <v>843</v>
      </c>
    </row>
    <row r="6" customFormat="false" ht="23.85" hidden="false" customHeight="false" outlineLevel="0" collapsed="false">
      <c r="A6" s="11" t="s">
        <v>844</v>
      </c>
      <c r="B6" s="11" t="s">
        <v>480</v>
      </c>
      <c r="C6" s="11" t="s">
        <v>845</v>
      </c>
      <c r="D6" s="40" t="n">
        <v>26</v>
      </c>
      <c r="E6" s="40" t="s">
        <v>623</v>
      </c>
      <c r="F6" s="40"/>
      <c r="G6" s="40"/>
      <c r="H6" s="40"/>
      <c r="I6" s="40"/>
      <c r="J6" s="40"/>
      <c r="K6" s="40"/>
      <c r="L6" s="40"/>
      <c r="M6" s="40"/>
      <c r="N6" s="40"/>
      <c r="O6" s="40"/>
      <c r="P6" s="40"/>
      <c r="Q6" s="58" t="n">
        <f aca="false">SUMIF('Calibración de recursos'!$C$6:$C$17,A6,'Calibración de recursos'!$H$6:$H$17)</f>
        <v>8571.65196679143</v>
      </c>
      <c r="R6" s="43" t="n">
        <f aca="false">'Calibración de recursos'!$B$22*Q6/SUM($Q$5:$Q$14)</f>
        <v>26.6714541687321</v>
      </c>
      <c r="S6" s="43" t="n">
        <f aca="false">IF(R6&lt;2,2,('Calibración de recursos'!$B$22-2*COUNTIF($R$5:$R$14,"&lt;2"))*Q6/(SUM($Q$5:$Q$14)-SUMIF($R$5:$R$14,"&lt;2",$Q$5:$Q$14)))</f>
        <v>25.5228804032037</v>
      </c>
      <c r="T6" s="43" t="n">
        <f aca="false">D6-S6</f>
        <v>0.477119596796324</v>
      </c>
      <c r="U6" s="42" t="n">
        <f aca="false">IFERROR(Q6/(D6*24*Demanda!$B$14),"")</f>
        <v>0.0376345801141177</v>
      </c>
      <c r="V6" s="42" t="n">
        <f aca="false">IFERROR(U6*Demanda!$B$29,"")</f>
        <v>0.0564518701711765</v>
      </c>
      <c r="W6" s="11" t="s">
        <v>843</v>
      </c>
    </row>
    <row r="7" customFormat="false" ht="23.85" hidden="false" customHeight="false" outlineLevel="0" collapsed="false">
      <c r="A7" s="11" t="s">
        <v>846</v>
      </c>
      <c r="B7" s="11" t="s">
        <v>491</v>
      </c>
      <c r="C7" s="11" t="s">
        <v>847</v>
      </c>
      <c r="D7" s="40" t="n">
        <v>4</v>
      </c>
      <c r="E7" s="40"/>
      <c r="F7" s="40"/>
      <c r="G7" s="40" t="s">
        <v>623</v>
      </c>
      <c r="H7" s="40"/>
      <c r="I7" s="40"/>
      <c r="J7" s="40"/>
      <c r="K7" s="40"/>
      <c r="L7" s="40"/>
      <c r="M7" s="40"/>
      <c r="N7" s="40"/>
      <c r="O7" s="40"/>
      <c r="P7" s="40"/>
      <c r="Q7" s="58" t="n">
        <f aca="false">SUMIF('Calibración de recursos'!$C$6:$C$17,A7,'Calibración de recursos'!$H$6:$H$17)</f>
        <v>1188.83932531454</v>
      </c>
      <c r="R7" s="43" t="n">
        <f aca="false">'Calibración de recursos'!$B$22*Q7/SUM($Q$5:$Q$14)</f>
        <v>3.69917883996662</v>
      </c>
      <c r="S7" s="43" t="n">
        <f aca="false">IF(R7&lt;2,2,('Calibración de recursos'!$B$22-2*COUNTIF($R$5:$R$14,"&lt;2"))*Q7/(SUM($Q$5:$Q$14)-SUMIF($R$5:$R$14,"&lt;2",$Q$5:$Q$14)))</f>
        <v>3.53987819806294</v>
      </c>
      <c r="T7" s="43" t="n">
        <f aca="false">D7-S7</f>
        <v>0.460121801937057</v>
      </c>
      <c r="U7" s="42" t="n">
        <f aca="false">IFERROR(Q7/(D7*24*Demanda!$B$14),"")</f>
        <v>0.0339280629370588</v>
      </c>
      <c r="V7" s="42" t="n">
        <f aca="false">IFERROR(U7*Demanda!$B$29,"")</f>
        <v>0.0508920944055882</v>
      </c>
      <c r="W7" s="11" t="s">
        <v>843</v>
      </c>
    </row>
    <row r="8" customFormat="false" ht="23.85" hidden="false" customHeight="false" outlineLevel="0" collapsed="false">
      <c r="A8" s="11" t="s">
        <v>848</v>
      </c>
      <c r="B8" s="11" t="s">
        <v>491</v>
      </c>
      <c r="C8" s="11" t="s">
        <v>849</v>
      </c>
      <c r="D8" s="40" t="n">
        <v>11</v>
      </c>
      <c r="E8" s="40"/>
      <c r="F8" s="40"/>
      <c r="G8" s="40"/>
      <c r="H8" s="40" t="s">
        <v>623</v>
      </c>
      <c r="I8" s="40"/>
      <c r="J8" s="40"/>
      <c r="K8" s="40"/>
      <c r="L8" s="40"/>
      <c r="M8" s="40"/>
      <c r="N8" s="40"/>
      <c r="O8" s="40"/>
      <c r="P8" s="40"/>
      <c r="Q8" s="58" t="n">
        <f aca="false">SUMIF('Calibración de recursos'!$C$6:$C$17,A8,'Calibración de recursos'!$H$6:$H$17)</f>
        <v>3689.91874690768</v>
      </c>
      <c r="R8" s="43" t="n">
        <f aca="false">'Calibración de recursos'!$B$22*Q8/SUM($Q$5:$Q$14)</f>
        <v>11.4815089466742</v>
      </c>
      <c r="S8" s="43" t="n">
        <f aca="false">IF(R8&lt;2,2,('Calibración de recursos'!$B$22-2*COUNTIF($R$5:$R$14,"&lt;2"))*Q8/(SUM($Q$5:$Q$14)-SUMIF($R$5:$R$14,"&lt;2",$Q$5:$Q$14)))</f>
        <v>10.9870717149657</v>
      </c>
      <c r="T8" s="43" t="n">
        <f aca="false">D8-S8</f>
        <v>0.012928285034338</v>
      </c>
      <c r="U8" s="42" t="n">
        <f aca="false">IFERROR(Q8/(D8*24*Demanda!$B$14),"")</f>
        <v>0.0382930546586518</v>
      </c>
      <c r="V8" s="42" t="n">
        <f aca="false">IFERROR(U8*Demanda!$B$29,"")</f>
        <v>0.0574395819879776</v>
      </c>
      <c r="W8" s="11" t="s">
        <v>843</v>
      </c>
    </row>
    <row r="9" customFormat="false" ht="23.85" hidden="false" customHeight="false" outlineLevel="0" collapsed="false">
      <c r="A9" s="11" t="s">
        <v>850</v>
      </c>
      <c r="B9" s="11" t="s">
        <v>495</v>
      </c>
      <c r="C9" s="11" t="s">
        <v>851</v>
      </c>
      <c r="D9" s="40" t="n">
        <v>2</v>
      </c>
      <c r="E9" s="40"/>
      <c r="F9" s="40"/>
      <c r="G9" s="40"/>
      <c r="H9" s="40"/>
      <c r="I9" s="40" t="s">
        <v>623</v>
      </c>
      <c r="J9" s="40"/>
      <c r="K9" s="40"/>
      <c r="L9" s="40"/>
      <c r="M9" s="40"/>
      <c r="N9" s="40"/>
      <c r="O9" s="40"/>
      <c r="P9" s="40"/>
      <c r="Q9" s="58" t="n">
        <f aca="false">SUMIF('Calibración de recursos'!$C$6:$C$17,A9,'Calibración de recursos'!$H$6:$H$17)</f>
        <v>452.657113935153</v>
      </c>
      <c r="R9" s="43" t="n">
        <f aca="false">'Calibración de recursos'!$B$22*Q9/SUM($Q$5:$Q$14)</f>
        <v>1.40848269566306</v>
      </c>
      <c r="S9" s="43" t="n">
        <f aca="false">IF(R9&lt;2,2,('Calibración de recursos'!$B$22-2*COUNTIF($R$5:$R$14,"&lt;2"))*Q9/(SUM($Q$5:$Q$14)-SUMIF($R$5:$R$14,"&lt;2",$Q$5:$Q$14)))</f>
        <v>2</v>
      </c>
      <c r="T9" s="43" t="n">
        <f aca="false">D9-S9</f>
        <v>0</v>
      </c>
      <c r="U9" s="42" t="n">
        <f aca="false">IFERROR(Q9/(D9*24*Demanda!$B$14),"")</f>
        <v>0.0258365932611389</v>
      </c>
      <c r="V9" s="42" t="n">
        <f aca="false">IFERROR(U9*Demanda!$B$29,"")</f>
        <v>0.0387548898917083</v>
      </c>
      <c r="W9" s="11" t="s">
        <v>843</v>
      </c>
    </row>
    <row r="10" customFormat="false" ht="23.85" hidden="false" customHeight="false" outlineLevel="0" collapsed="false">
      <c r="A10" s="11" t="s">
        <v>852</v>
      </c>
      <c r="B10" s="11" t="s">
        <v>495</v>
      </c>
      <c r="C10" s="11" t="s">
        <v>853</v>
      </c>
      <c r="D10" s="40" t="n">
        <v>3</v>
      </c>
      <c r="E10" s="40"/>
      <c r="F10" s="40"/>
      <c r="G10" s="40"/>
      <c r="H10" s="40"/>
      <c r="I10" s="40"/>
      <c r="J10" s="40" t="s">
        <v>623</v>
      </c>
      <c r="K10" s="40"/>
      <c r="L10" s="40"/>
      <c r="M10" s="40"/>
      <c r="N10" s="40"/>
      <c r="O10" s="40"/>
      <c r="P10" s="40"/>
      <c r="Q10" s="58" t="n">
        <f aca="false">SUMIF('Calibración de recursos'!$C$6:$C$17,A10,'Calibración de recursos'!$H$6:$H$17)</f>
        <v>1059.72298606485</v>
      </c>
      <c r="R10" s="43" t="n">
        <f aca="false">'Calibración de recursos'!$B$22*Q10/SUM($Q$5:$Q$14)</f>
        <v>3.29742191632174</v>
      </c>
      <c r="S10" s="43" t="n">
        <f aca="false">IF(R10&lt;2,2,('Calibración de recursos'!$B$22-2*COUNTIF($R$5:$R$14,"&lt;2"))*Q10/(SUM($Q$5:$Q$14)-SUMIF($R$5:$R$14,"&lt;2",$Q$5:$Q$14)))</f>
        <v>3.15542244816355</v>
      </c>
      <c r="T10" s="43" t="n">
        <f aca="false">D10-S10</f>
        <v>-0.155422448163552</v>
      </c>
      <c r="U10" s="42" t="n">
        <f aca="false">IFERROR(Q10/(D10*24*Demanda!$B$14),"")</f>
        <v>0.0403243145382362</v>
      </c>
      <c r="V10" s="42" t="n">
        <f aca="false">IFERROR(U10*Demanda!$B$29,"")</f>
        <v>0.0604864718073543</v>
      </c>
      <c r="W10" s="11" t="s">
        <v>843</v>
      </c>
    </row>
    <row r="11" customFormat="false" ht="23.85" hidden="false" customHeight="false" outlineLevel="0" collapsed="false">
      <c r="A11" s="11" t="s">
        <v>854</v>
      </c>
      <c r="B11" s="11" t="s">
        <v>501</v>
      </c>
      <c r="C11" s="11" t="s">
        <v>855</v>
      </c>
      <c r="D11" s="40" t="n">
        <v>2</v>
      </c>
      <c r="E11" s="40"/>
      <c r="F11" s="40"/>
      <c r="G11" s="40"/>
      <c r="H11" s="40"/>
      <c r="I11" s="40"/>
      <c r="J11" s="40"/>
      <c r="K11" s="40" t="s">
        <v>623</v>
      </c>
      <c r="L11" s="40"/>
      <c r="M11" s="40"/>
      <c r="N11" s="40"/>
      <c r="O11" s="40"/>
      <c r="P11" s="40"/>
      <c r="Q11" s="58" t="n">
        <f aca="false">SUMIF('Calibración de recursos'!$C$6:$C$17,A11,'Calibración de recursos'!$H$6:$H$17)</f>
        <v>260.948153445642</v>
      </c>
      <c r="R11" s="43" t="n">
        <f aca="false">'Calibración de recursos'!$B$22*Q11/SUM($Q$5:$Q$14)</f>
        <v>0.811963288057524</v>
      </c>
      <c r="S11" s="43" t="n">
        <f aca="false">IF(R11&lt;2,2,('Calibración de recursos'!$B$22-2*COUNTIF($R$5:$R$14,"&lt;2"))*Q11/(SUM($Q$5:$Q$14)-SUMIF($R$5:$R$14,"&lt;2",$Q$5:$Q$14)))</f>
        <v>2</v>
      </c>
      <c r="T11" s="43" t="n">
        <f aca="false">D11-S11</f>
        <v>0</v>
      </c>
      <c r="U11" s="42" t="n">
        <f aca="false">IFERROR(Q11/(D11*24*Demanda!$B$14),"")</f>
        <v>0.0148943009957558</v>
      </c>
      <c r="V11" s="42" t="n">
        <f aca="false">IFERROR(U11*Demanda!$B$29,"")</f>
        <v>0.0223414514936338</v>
      </c>
      <c r="W11" s="11" t="s">
        <v>843</v>
      </c>
    </row>
    <row r="12" customFormat="false" ht="23.85" hidden="false" customHeight="false" outlineLevel="0" collapsed="false">
      <c r="A12" s="11" t="s">
        <v>856</v>
      </c>
      <c r="B12" s="11" t="s">
        <v>501</v>
      </c>
      <c r="C12" s="11" t="s">
        <v>857</v>
      </c>
      <c r="D12" s="40" t="n">
        <v>2</v>
      </c>
      <c r="E12" s="40"/>
      <c r="F12" s="40"/>
      <c r="G12" s="40"/>
      <c r="H12" s="40"/>
      <c r="I12" s="40"/>
      <c r="J12" s="40"/>
      <c r="K12" s="40"/>
      <c r="L12" s="40" t="s">
        <v>623</v>
      </c>
      <c r="M12" s="40"/>
      <c r="N12" s="40"/>
      <c r="O12" s="40"/>
      <c r="P12" s="40"/>
      <c r="Q12" s="58" t="n">
        <f aca="false">SUMIF('Calibración de recursos'!$C$6:$C$17,A12,'Calibración de recursos'!$H$6:$H$17)</f>
        <v>289.06241877658</v>
      </c>
      <c r="R12" s="43" t="n">
        <f aca="false">'Calibración de recursos'!$B$22*Q12/SUM($Q$5:$Q$14)</f>
        <v>0.899443314330961</v>
      </c>
      <c r="S12" s="43" t="n">
        <f aca="false">IF(R12&lt;2,2,('Calibración de recursos'!$B$22-2*COUNTIF($R$5:$R$14,"&lt;2"))*Q12/(SUM($Q$5:$Q$14)-SUMIF($R$5:$R$14,"&lt;2",$Q$5:$Q$14)))</f>
        <v>2</v>
      </c>
      <c r="T12" s="43" t="n">
        <f aca="false">D12-S12</f>
        <v>0</v>
      </c>
      <c r="U12" s="42" t="n">
        <f aca="false">IFERROR(Q12/(D12*24*Demanda!$B$14),"")</f>
        <v>0.0164989965055125</v>
      </c>
      <c r="V12" s="42" t="n">
        <f aca="false">IFERROR(U12*Demanda!$B$29,"")</f>
        <v>0.0247484947582688</v>
      </c>
      <c r="W12" s="11" t="s">
        <v>843</v>
      </c>
    </row>
    <row r="13" customFormat="false" ht="23.85" hidden="false" customHeight="false" outlineLevel="0" collapsed="false">
      <c r="A13" s="11" t="s">
        <v>506</v>
      </c>
      <c r="B13" s="11" t="s">
        <v>506</v>
      </c>
      <c r="C13" s="11" t="s">
        <v>674</v>
      </c>
      <c r="D13" s="40" t="n">
        <v>3</v>
      </c>
      <c r="E13" s="40"/>
      <c r="F13" s="40"/>
      <c r="G13" s="40"/>
      <c r="H13" s="40"/>
      <c r="I13" s="40"/>
      <c r="J13" s="40"/>
      <c r="K13" s="40"/>
      <c r="L13" s="40"/>
      <c r="M13" s="40" t="s">
        <v>623</v>
      </c>
      <c r="N13" s="40" t="s">
        <v>623</v>
      </c>
      <c r="O13" s="40"/>
      <c r="P13" s="40"/>
      <c r="Q13" s="58" t="n">
        <f aca="false">SUMIF('Calibración de recursos'!$C$6:$C$17,A13,'Calibración de recursos'!$H$6:$H$17)</f>
        <v>1035.15377777778</v>
      </c>
      <c r="R13" s="43" t="n">
        <f aca="false">'Calibración de recursos'!$B$22*Q13/SUM($Q$5:$Q$14)</f>
        <v>3.22097264897755</v>
      </c>
      <c r="S13" s="43" t="n">
        <f aca="false">IF(R13&lt;2,2,('Calibración de recursos'!$B$22-2*COUNTIF($R$5:$R$14,"&lt;2"))*Q13/(SUM($Q$5:$Q$14)-SUMIF($R$5:$R$14,"&lt;2",$Q$5:$Q$14)))</f>
        <v>3.08226537562471</v>
      </c>
      <c r="T13" s="43" t="n">
        <f aca="false">D13-S13</f>
        <v>-0.0822653756247114</v>
      </c>
      <c r="U13" s="42" t="n">
        <f aca="false">IFERROR(Q13/(D13*24*Demanda!$B$14),"")</f>
        <v>0.0393894131574497</v>
      </c>
      <c r="V13" s="42" t="n">
        <f aca="false">IFERROR(U13*Demanda!$B$29,"")</f>
        <v>0.0590841197361745</v>
      </c>
      <c r="W13" s="11" t="s">
        <v>843</v>
      </c>
    </row>
    <row r="14" customFormat="false" ht="23.85" hidden="false" customHeight="false" outlineLevel="0" collapsed="false">
      <c r="A14" s="11" t="s">
        <v>510</v>
      </c>
      <c r="B14" s="11" t="s">
        <v>510</v>
      </c>
      <c r="C14" s="11" t="s">
        <v>684</v>
      </c>
      <c r="D14" s="40" t="n">
        <v>2</v>
      </c>
      <c r="E14" s="40"/>
      <c r="F14" s="40"/>
      <c r="G14" s="40"/>
      <c r="H14" s="40"/>
      <c r="I14" s="40"/>
      <c r="J14" s="40"/>
      <c r="K14" s="40"/>
      <c r="L14" s="40"/>
      <c r="M14" s="40"/>
      <c r="N14" s="40"/>
      <c r="O14" s="40" t="s">
        <v>623</v>
      </c>
      <c r="P14" s="40" t="s">
        <v>623</v>
      </c>
      <c r="Q14" s="58" t="n">
        <f aca="false">SUMIF('Calibración de recursos'!$C$6:$C$17,A14,'Calibración de recursos'!$H$6:$H$17)</f>
        <v>834.677861111111</v>
      </c>
      <c r="R14" s="43" t="n">
        <f aca="false">'Calibración de recursos'!$B$22*Q14/SUM($Q$5:$Q$14)</f>
        <v>2.59717408085731</v>
      </c>
      <c r="S14" s="43" t="n">
        <f aca="false">IF(R14&lt;2,2,('Calibración de recursos'!$B$22-2*COUNTIF($R$5:$R$14,"&lt;2"))*Q14/(SUM($Q$5:$Q$14)-SUMIF($R$5:$R$14,"&lt;2",$Q$5:$Q$14)))</f>
        <v>2.48532993486845</v>
      </c>
      <c r="T14" s="43" t="n">
        <f aca="false">D14-S14</f>
        <v>-0.485329934868445</v>
      </c>
      <c r="U14" s="42" t="n">
        <f aca="false">IFERROR(Q14/(D14*24*Demanda!$B$14),"")</f>
        <v>0.0476414304287164</v>
      </c>
      <c r="V14" s="42" t="n">
        <f aca="false">IFERROR(U14*Demanda!$B$29,"")</f>
        <v>0.0714621456430746</v>
      </c>
      <c r="W14" s="11" t="s">
        <v>843</v>
      </c>
    </row>
  </sheetData>
  <autoFilter ref="A4:W14"/>
  <dataValidations count="1">
    <dataValidation allowBlank="true" errorStyle="stop" operator="between" showDropDown="false" showErrorMessage="false" showInputMessage="false" sqref="E5:P14" type="list">
      <formula1>"X"</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1"/>
    <col collapsed="false" customWidth="true" hidden="false" outlineLevel="0" max="4" min="4" style="0" width="14"/>
    <col collapsed="false" customWidth="true" hidden="false" outlineLevel="0" max="5" min="5" style="0" width="10"/>
    <col collapsed="false" customWidth="true" hidden="false" outlineLevel="0" max="17" min="6" style="0" width="6"/>
    <col collapsed="false" customWidth="true" hidden="false" outlineLevel="0" max="18" min="18" style="0" width="11"/>
    <col collapsed="false" customWidth="true" hidden="false" outlineLevel="0" max="19" min="19" style="0" width="40"/>
  </cols>
  <sheetData>
    <row r="1" customFormat="false" ht="17.35" hidden="false" customHeight="false" outlineLevel="0" collapsed="false">
      <c r="A1" s="1" t="s">
        <v>858</v>
      </c>
    </row>
    <row r="2" customFormat="false" ht="15" hidden="false" customHeight="false" outlineLevel="0" collapsed="false">
      <c r="A2" s="2" t="s">
        <v>859</v>
      </c>
    </row>
    <row r="3" customFormat="false" ht="15" hidden="false" customHeight="false" outlineLevel="0" collapsed="false">
      <c r="A3" s="17" t="s">
        <v>860</v>
      </c>
    </row>
    <row r="4" customFormat="false" ht="46.25" hidden="false" customHeight="false" outlineLevel="0" collapsed="false">
      <c r="A4" s="10" t="s">
        <v>36</v>
      </c>
      <c r="B4" s="10" t="s">
        <v>861</v>
      </c>
      <c r="C4" s="10" t="s">
        <v>693</v>
      </c>
      <c r="D4" s="10" t="s">
        <v>862</v>
      </c>
      <c r="E4" s="10" t="s">
        <v>863</v>
      </c>
      <c r="F4" s="10" t="s">
        <v>615</v>
      </c>
      <c r="G4" s="10" t="s">
        <v>625</v>
      </c>
      <c r="H4" s="10" t="s">
        <v>632</v>
      </c>
      <c r="I4" s="10" t="s">
        <v>637</v>
      </c>
      <c r="J4" s="10" t="s">
        <v>643</v>
      </c>
      <c r="K4" s="10" t="s">
        <v>651</v>
      </c>
      <c r="L4" s="10" t="s">
        <v>657</v>
      </c>
      <c r="M4" s="10" t="s">
        <v>663</v>
      </c>
      <c r="N4" s="10" t="s">
        <v>670</v>
      </c>
      <c r="O4" s="10" t="s">
        <v>676</v>
      </c>
      <c r="P4" s="10" t="s">
        <v>680</v>
      </c>
      <c r="Q4" s="10" t="s">
        <v>686</v>
      </c>
      <c r="R4" s="10" t="s">
        <v>864</v>
      </c>
      <c r="S4" s="10" t="s">
        <v>764</v>
      </c>
    </row>
    <row r="5" customFormat="false" ht="23.85" hidden="false" customHeight="false" outlineLevel="0" collapsed="false">
      <c r="A5" s="11" t="s">
        <v>865</v>
      </c>
      <c r="B5" s="12" t="s">
        <v>866</v>
      </c>
      <c r="C5" s="46" t="s">
        <v>867</v>
      </c>
      <c r="D5" s="46" t="s">
        <v>868</v>
      </c>
      <c r="E5" s="53" t="n">
        <f aca="false">INDEX('Calibración de recursos'!$C$31:$C$33,MATCH(C5,'Calibración de recursos'!$A$31:$A$33,0))</f>
        <v>0.9</v>
      </c>
      <c r="F5" s="61" t="n">
        <f aca="false">IF(AND(MATCH($C5,'Calibración de recursos'!$A$31:$A$33,0)&gt;='Calibración de recursos'!B$44,INDEX('Calibración de recursos'!$B$37:$G$39,MATCH($D5,'Calibración de recursos'!$A$37:$A$39,0),MATCH('Calibración de recursos'!B$43,'Calibración de recursos'!$B$36:$G$36,0))=1),1,0)</f>
        <v>1</v>
      </c>
      <c r="G5" s="61" t="n">
        <f aca="false">IF(AND(MATCH($C5,'Calibración de recursos'!$A$31:$A$33,0)&gt;='Calibración de recursos'!C$44,INDEX('Calibración de recursos'!$B$37:$G$39,MATCH($D5,'Calibración de recursos'!$A$37:$A$39,0),MATCH('Calibración de recursos'!C$43,'Calibración de recursos'!$B$36:$G$36,0))=1),1,0)</f>
        <v>1</v>
      </c>
      <c r="H5" s="61" t="n">
        <f aca="false">IF(AND(MATCH($C5,'Calibración de recursos'!$A$31:$A$33,0)&gt;='Calibración de recursos'!D$44,INDEX('Calibración de recursos'!$B$37:$G$39,MATCH($D5,'Calibración de recursos'!$A$37:$A$39,0),MATCH('Calibración de recursos'!D$43,'Calibración de recursos'!$B$36:$G$36,0))=1),1,0)</f>
        <v>1</v>
      </c>
      <c r="I5" s="61" t="n">
        <f aca="false">IF(AND(MATCH($C5,'Calibración de recursos'!$A$31:$A$33,0)&gt;='Calibración de recursos'!E$44,INDEX('Calibración de recursos'!$B$37:$G$39,MATCH($D5,'Calibración de recursos'!$A$37:$A$39,0),MATCH('Calibración de recursos'!E$43,'Calibración de recursos'!$B$36:$G$36,0))=1),1,0)</f>
        <v>1</v>
      </c>
      <c r="J5" s="61" t="n">
        <f aca="false">IF(AND(MATCH($C5,'Calibración de recursos'!$A$31:$A$33,0)&gt;='Calibración de recursos'!F$44,INDEX('Calibración de recursos'!$B$37:$G$39,MATCH($D5,'Calibración de recursos'!$A$37:$A$39,0),MATCH('Calibración de recursos'!F$43,'Calibración de recursos'!$B$36:$G$36,0))=1),1,0)</f>
        <v>1</v>
      </c>
      <c r="K5" s="61" t="n">
        <f aca="false">IF(AND(MATCH($C5,'Calibración de recursos'!$A$31:$A$33,0)&gt;='Calibración de recursos'!G$44,INDEX('Calibración de recursos'!$B$37:$G$39,MATCH($D5,'Calibración de recursos'!$A$37:$A$39,0),MATCH('Calibración de recursos'!G$43,'Calibración de recursos'!$B$36:$G$36,0))=1),1,0)</f>
        <v>1</v>
      </c>
      <c r="L5" s="61" t="n">
        <f aca="false">IF(AND(MATCH($C5,'Calibración de recursos'!$A$31:$A$33,0)&gt;='Calibración de recursos'!H$44,INDEX('Calibración de recursos'!$B$37:$G$39,MATCH($D5,'Calibración de recursos'!$A$37:$A$39,0),MATCH('Calibración de recursos'!H$43,'Calibración de recursos'!$B$36:$G$36,0))=1),1,0)</f>
        <v>1</v>
      </c>
      <c r="M5" s="61" t="n">
        <f aca="false">IF(AND(MATCH($C5,'Calibración de recursos'!$A$31:$A$33,0)&gt;='Calibración de recursos'!I$44,INDEX('Calibración de recursos'!$B$37:$G$39,MATCH($D5,'Calibración de recursos'!$A$37:$A$39,0),MATCH('Calibración de recursos'!I$43,'Calibración de recursos'!$B$36:$G$36,0))=1),1,0)</f>
        <v>1</v>
      </c>
      <c r="N5" s="61" t="n">
        <f aca="false">IF(AND(MATCH($C5,'Calibración de recursos'!$A$31:$A$33,0)&gt;='Calibración de recursos'!J$44,INDEX('Calibración de recursos'!$B$37:$G$39,MATCH($D5,'Calibración de recursos'!$A$37:$A$39,0),MATCH('Calibración de recursos'!J$43,'Calibración de recursos'!$B$36:$G$36,0))=1),1,0)</f>
        <v>1</v>
      </c>
      <c r="O5" s="61" t="n">
        <f aca="false">IF(AND(MATCH($C5,'Calibración de recursos'!$A$31:$A$33,0)&gt;='Calibración de recursos'!K$44,INDEX('Calibración de recursos'!$B$37:$G$39,MATCH($D5,'Calibración de recursos'!$A$37:$A$39,0),MATCH('Calibración de recursos'!K$43,'Calibración de recursos'!$B$36:$G$36,0))=1),1,0)</f>
        <v>1</v>
      </c>
      <c r="P5" s="61" t="n">
        <f aca="false">IF(AND(MATCH($C5,'Calibración de recursos'!$A$31:$A$33,0)&gt;='Calibración de recursos'!L$44,INDEX('Calibración de recursos'!$B$37:$G$39,MATCH($D5,'Calibración de recursos'!$A$37:$A$39,0),MATCH('Calibración de recursos'!L$43,'Calibración de recursos'!$B$36:$G$36,0))=1),1,0)</f>
        <v>1</v>
      </c>
      <c r="Q5" s="61" t="n">
        <f aca="false">IF(AND(MATCH($C5,'Calibración de recursos'!$A$31:$A$33,0)&gt;='Calibración de recursos'!M$44,INDEX('Calibración de recursos'!$B$37:$G$39,MATCH($D5,'Calibración de recursos'!$A$37:$A$39,0),MATCH('Calibración de recursos'!M$43,'Calibración de recursos'!$B$36:$G$36,0))=1),1,0)</f>
        <v>1</v>
      </c>
      <c r="R5" s="11" t="n">
        <f aca="false">SUM(F5:Q5)</f>
        <v>12</v>
      </c>
      <c r="S5" s="11" t="s">
        <v>869</v>
      </c>
    </row>
    <row r="6" customFormat="false" ht="23.85" hidden="false" customHeight="false" outlineLevel="0" collapsed="false">
      <c r="A6" s="11" t="s">
        <v>870</v>
      </c>
      <c r="B6" s="12" t="s">
        <v>866</v>
      </c>
      <c r="C6" s="46" t="s">
        <v>867</v>
      </c>
      <c r="D6" s="46" t="s">
        <v>868</v>
      </c>
      <c r="E6" s="53" t="n">
        <f aca="false">INDEX('Calibración de recursos'!$C$31:$C$33,MATCH(C6,'Calibración de recursos'!$A$31:$A$33,0))</f>
        <v>0.9</v>
      </c>
      <c r="F6" s="61" t="n">
        <f aca="false">IF(AND(MATCH($C6,'Calibración de recursos'!$A$31:$A$33,0)&gt;='Calibración de recursos'!B$44,INDEX('Calibración de recursos'!$B$37:$G$39,MATCH($D6,'Calibración de recursos'!$A$37:$A$39,0),MATCH('Calibración de recursos'!B$43,'Calibración de recursos'!$B$36:$G$36,0))=1),1,0)</f>
        <v>1</v>
      </c>
      <c r="G6" s="61" t="n">
        <f aca="false">IF(AND(MATCH($C6,'Calibración de recursos'!$A$31:$A$33,0)&gt;='Calibración de recursos'!C$44,INDEX('Calibración de recursos'!$B$37:$G$39,MATCH($D6,'Calibración de recursos'!$A$37:$A$39,0),MATCH('Calibración de recursos'!C$43,'Calibración de recursos'!$B$36:$G$36,0))=1),1,0)</f>
        <v>1</v>
      </c>
      <c r="H6" s="61" t="n">
        <f aca="false">IF(AND(MATCH($C6,'Calibración de recursos'!$A$31:$A$33,0)&gt;='Calibración de recursos'!D$44,INDEX('Calibración de recursos'!$B$37:$G$39,MATCH($D6,'Calibración de recursos'!$A$37:$A$39,0),MATCH('Calibración de recursos'!D$43,'Calibración de recursos'!$B$36:$G$36,0))=1),1,0)</f>
        <v>1</v>
      </c>
      <c r="I6" s="61" t="n">
        <f aca="false">IF(AND(MATCH($C6,'Calibración de recursos'!$A$31:$A$33,0)&gt;='Calibración de recursos'!E$44,INDEX('Calibración de recursos'!$B$37:$G$39,MATCH($D6,'Calibración de recursos'!$A$37:$A$39,0),MATCH('Calibración de recursos'!E$43,'Calibración de recursos'!$B$36:$G$36,0))=1),1,0)</f>
        <v>1</v>
      </c>
      <c r="J6" s="61" t="n">
        <f aca="false">IF(AND(MATCH($C6,'Calibración de recursos'!$A$31:$A$33,0)&gt;='Calibración de recursos'!F$44,INDEX('Calibración de recursos'!$B$37:$G$39,MATCH($D6,'Calibración de recursos'!$A$37:$A$39,0),MATCH('Calibración de recursos'!F$43,'Calibración de recursos'!$B$36:$G$36,0))=1),1,0)</f>
        <v>1</v>
      </c>
      <c r="K6" s="61" t="n">
        <f aca="false">IF(AND(MATCH($C6,'Calibración de recursos'!$A$31:$A$33,0)&gt;='Calibración de recursos'!G$44,INDEX('Calibración de recursos'!$B$37:$G$39,MATCH($D6,'Calibración de recursos'!$A$37:$A$39,0),MATCH('Calibración de recursos'!G$43,'Calibración de recursos'!$B$36:$G$36,0))=1),1,0)</f>
        <v>1</v>
      </c>
      <c r="L6" s="61" t="n">
        <f aca="false">IF(AND(MATCH($C6,'Calibración de recursos'!$A$31:$A$33,0)&gt;='Calibración de recursos'!H$44,INDEX('Calibración de recursos'!$B$37:$G$39,MATCH($D6,'Calibración de recursos'!$A$37:$A$39,0),MATCH('Calibración de recursos'!H$43,'Calibración de recursos'!$B$36:$G$36,0))=1),1,0)</f>
        <v>1</v>
      </c>
      <c r="M6" s="61" t="n">
        <f aca="false">IF(AND(MATCH($C6,'Calibración de recursos'!$A$31:$A$33,0)&gt;='Calibración de recursos'!I$44,INDEX('Calibración de recursos'!$B$37:$G$39,MATCH($D6,'Calibración de recursos'!$A$37:$A$39,0),MATCH('Calibración de recursos'!I$43,'Calibración de recursos'!$B$36:$G$36,0))=1),1,0)</f>
        <v>1</v>
      </c>
      <c r="N6" s="61" t="n">
        <f aca="false">IF(AND(MATCH($C6,'Calibración de recursos'!$A$31:$A$33,0)&gt;='Calibración de recursos'!J$44,INDEX('Calibración de recursos'!$B$37:$G$39,MATCH($D6,'Calibración de recursos'!$A$37:$A$39,0),MATCH('Calibración de recursos'!J$43,'Calibración de recursos'!$B$36:$G$36,0))=1),1,0)</f>
        <v>1</v>
      </c>
      <c r="O6" s="61" t="n">
        <f aca="false">IF(AND(MATCH($C6,'Calibración de recursos'!$A$31:$A$33,0)&gt;='Calibración de recursos'!K$44,INDEX('Calibración de recursos'!$B$37:$G$39,MATCH($D6,'Calibración de recursos'!$A$37:$A$39,0),MATCH('Calibración de recursos'!K$43,'Calibración de recursos'!$B$36:$G$36,0))=1),1,0)</f>
        <v>1</v>
      </c>
      <c r="P6" s="61" t="n">
        <f aca="false">IF(AND(MATCH($C6,'Calibración de recursos'!$A$31:$A$33,0)&gt;='Calibración de recursos'!L$44,INDEX('Calibración de recursos'!$B$37:$G$39,MATCH($D6,'Calibración de recursos'!$A$37:$A$39,0),MATCH('Calibración de recursos'!L$43,'Calibración de recursos'!$B$36:$G$36,0))=1),1,0)</f>
        <v>1</v>
      </c>
      <c r="Q6" s="61" t="n">
        <f aca="false">IF(AND(MATCH($C6,'Calibración de recursos'!$A$31:$A$33,0)&gt;='Calibración de recursos'!M$44,INDEX('Calibración de recursos'!$B$37:$G$39,MATCH($D6,'Calibración de recursos'!$A$37:$A$39,0),MATCH('Calibración de recursos'!M$43,'Calibración de recursos'!$B$36:$G$36,0))=1),1,0)</f>
        <v>1</v>
      </c>
      <c r="R6" s="11" t="n">
        <f aca="false">SUM(F6:Q6)</f>
        <v>12</v>
      </c>
      <c r="S6" s="11" t="s">
        <v>869</v>
      </c>
    </row>
    <row r="7" customFormat="false" ht="23.85" hidden="false" customHeight="false" outlineLevel="0" collapsed="false">
      <c r="A7" s="11" t="s">
        <v>871</v>
      </c>
      <c r="B7" s="12" t="s">
        <v>866</v>
      </c>
      <c r="C7" s="46" t="s">
        <v>872</v>
      </c>
      <c r="D7" s="46" t="s">
        <v>868</v>
      </c>
      <c r="E7" s="53" t="n">
        <f aca="false">INDEX('Calibración de recursos'!$C$31:$C$33,MATCH(C7,'Calibración de recursos'!$A$31:$A$33,0))</f>
        <v>1</v>
      </c>
      <c r="F7" s="61" t="n">
        <f aca="false">IF(AND(MATCH($C7,'Calibración de recursos'!$A$31:$A$33,0)&gt;='Calibración de recursos'!B$44,INDEX('Calibración de recursos'!$B$37:$G$39,MATCH($D7,'Calibración de recursos'!$A$37:$A$39,0),MATCH('Calibración de recursos'!B$43,'Calibración de recursos'!$B$36:$G$36,0))=1),1,0)</f>
        <v>1</v>
      </c>
      <c r="G7" s="61" t="n">
        <f aca="false">IF(AND(MATCH($C7,'Calibración de recursos'!$A$31:$A$33,0)&gt;='Calibración de recursos'!C$44,INDEX('Calibración de recursos'!$B$37:$G$39,MATCH($D7,'Calibración de recursos'!$A$37:$A$39,0),MATCH('Calibración de recursos'!C$43,'Calibración de recursos'!$B$36:$G$36,0))=1),1,0)</f>
        <v>1</v>
      </c>
      <c r="H7" s="61" t="n">
        <f aca="false">IF(AND(MATCH($C7,'Calibración de recursos'!$A$31:$A$33,0)&gt;='Calibración de recursos'!D$44,INDEX('Calibración de recursos'!$B$37:$G$39,MATCH($D7,'Calibración de recursos'!$A$37:$A$39,0),MATCH('Calibración de recursos'!D$43,'Calibración de recursos'!$B$36:$G$36,0))=1),1,0)</f>
        <v>1</v>
      </c>
      <c r="I7" s="61" t="n">
        <f aca="false">IF(AND(MATCH($C7,'Calibración de recursos'!$A$31:$A$33,0)&gt;='Calibración de recursos'!E$44,INDEX('Calibración de recursos'!$B$37:$G$39,MATCH($D7,'Calibración de recursos'!$A$37:$A$39,0),MATCH('Calibración de recursos'!E$43,'Calibración de recursos'!$B$36:$G$36,0))=1),1,0)</f>
        <v>1</v>
      </c>
      <c r="J7" s="61" t="n">
        <f aca="false">IF(AND(MATCH($C7,'Calibración de recursos'!$A$31:$A$33,0)&gt;='Calibración de recursos'!F$44,INDEX('Calibración de recursos'!$B$37:$G$39,MATCH($D7,'Calibración de recursos'!$A$37:$A$39,0),MATCH('Calibración de recursos'!F$43,'Calibración de recursos'!$B$36:$G$36,0))=1),1,0)</f>
        <v>1</v>
      </c>
      <c r="K7" s="61" t="n">
        <f aca="false">IF(AND(MATCH($C7,'Calibración de recursos'!$A$31:$A$33,0)&gt;='Calibración de recursos'!G$44,INDEX('Calibración de recursos'!$B$37:$G$39,MATCH($D7,'Calibración de recursos'!$A$37:$A$39,0),MATCH('Calibración de recursos'!G$43,'Calibración de recursos'!$B$36:$G$36,0))=1),1,0)</f>
        <v>1</v>
      </c>
      <c r="L7" s="61" t="n">
        <f aca="false">IF(AND(MATCH($C7,'Calibración de recursos'!$A$31:$A$33,0)&gt;='Calibración de recursos'!H$44,INDEX('Calibración de recursos'!$B$37:$G$39,MATCH($D7,'Calibración de recursos'!$A$37:$A$39,0),MATCH('Calibración de recursos'!H$43,'Calibración de recursos'!$B$36:$G$36,0))=1),1,0)</f>
        <v>1</v>
      </c>
      <c r="M7" s="61" t="n">
        <f aca="false">IF(AND(MATCH($C7,'Calibración de recursos'!$A$31:$A$33,0)&gt;='Calibración de recursos'!I$44,INDEX('Calibración de recursos'!$B$37:$G$39,MATCH($D7,'Calibración de recursos'!$A$37:$A$39,0),MATCH('Calibración de recursos'!I$43,'Calibración de recursos'!$B$36:$G$36,0))=1),1,0)</f>
        <v>0</v>
      </c>
      <c r="N7" s="61" t="n">
        <f aca="false">IF(AND(MATCH($C7,'Calibración de recursos'!$A$31:$A$33,0)&gt;='Calibración de recursos'!J$44,INDEX('Calibración de recursos'!$B$37:$G$39,MATCH($D7,'Calibración de recursos'!$A$37:$A$39,0),MATCH('Calibración de recursos'!J$43,'Calibración de recursos'!$B$36:$G$36,0))=1),1,0)</f>
        <v>1</v>
      </c>
      <c r="O7" s="61" t="n">
        <f aca="false">IF(AND(MATCH($C7,'Calibración de recursos'!$A$31:$A$33,0)&gt;='Calibración de recursos'!K$44,INDEX('Calibración de recursos'!$B$37:$G$39,MATCH($D7,'Calibración de recursos'!$A$37:$A$39,0),MATCH('Calibración de recursos'!K$43,'Calibración de recursos'!$B$36:$G$36,0))=1),1,0)</f>
        <v>1</v>
      </c>
      <c r="P7" s="61" t="n">
        <f aca="false">IF(AND(MATCH($C7,'Calibración de recursos'!$A$31:$A$33,0)&gt;='Calibración de recursos'!L$44,INDEX('Calibración de recursos'!$B$37:$G$39,MATCH($D7,'Calibración de recursos'!$A$37:$A$39,0),MATCH('Calibración de recursos'!L$43,'Calibración de recursos'!$B$36:$G$36,0))=1),1,0)</f>
        <v>1</v>
      </c>
      <c r="Q7" s="61" t="n">
        <f aca="false">IF(AND(MATCH($C7,'Calibración de recursos'!$A$31:$A$33,0)&gt;='Calibración de recursos'!M$44,INDEX('Calibración de recursos'!$B$37:$G$39,MATCH($D7,'Calibración de recursos'!$A$37:$A$39,0),MATCH('Calibración de recursos'!M$43,'Calibración de recursos'!$B$36:$G$36,0))=1),1,0)</f>
        <v>0</v>
      </c>
      <c r="R7" s="11" t="n">
        <f aca="false">SUM(F7:Q7)</f>
        <v>10</v>
      </c>
      <c r="S7" s="11" t="s">
        <v>869</v>
      </c>
    </row>
    <row r="8" customFormat="false" ht="23.85" hidden="false" customHeight="false" outlineLevel="0" collapsed="false">
      <c r="A8" s="11" t="s">
        <v>873</v>
      </c>
      <c r="B8" s="12" t="s">
        <v>866</v>
      </c>
      <c r="C8" s="46" t="s">
        <v>872</v>
      </c>
      <c r="D8" s="46" t="s">
        <v>868</v>
      </c>
      <c r="E8" s="53" t="n">
        <f aca="false">INDEX('Calibración de recursos'!$C$31:$C$33,MATCH(C8,'Calibración de recursos'!$A$31:$A$33,0))</f>
        <v>1</v>
      </c>
      <c r="F8" s="61" t="n">
        <f aca="false">IF(AND(MATCH($C8,'Calibración de recursos'!$A$31:$A$33,0)&gt;='Calibración de recursos'!B$44,INDEX('Calibración de recursos'!$B$37:$G$39,MATCH($D8,'Calibración de recursos'!$A$37:$A$39,0),MATCH('Calibración de recursos'!B$43,'Calibración de recursos'!$B$36:$G$36,0))=1),1,0)</f>
        <v>1</v>
      </c>
      <c r="G8" s="61" t="n">
        <f aca="false">IF(AND(MATCH($C8,'Calibración de recursos'!$A$31:$A$33,0)&gt;='Calibración de recursos'!C$44,INDEX('Calibración de recursos'!$B$37:$G$39,MATCH($D8,'Calibración de recursos'!$A$37:$A$39,0),MATCH('Calibración de recursos'!C$43,'Calibración de recursos'!$B$36:$G$36,0))=1),1,0)</f>
        <v>1</v>
      </c>
      <c r="H8" s="61" t="n">
        <f aca="false">IF(AND(MATCH($C8,'Calibración de recursos'!$A$31:$A$33,0)&gt;='Calibración de recursos'!D$44,INDEX('Calibración de recursos'!$B$37:$G$39,MATCH($D8,'Calibración de recursos'!$A$37:$A$39,0),MATCH('Calibración de recursos'!D$43,'Calibración de recursos'!$B$36:$G$36,0))=1),1,0)</f>
        <v>1</v>
      </c>
      <c r="I8" s="61" t="n">
        <f aca="false">IF(AND(MATCH($C8,'Calibración de recursos'!$A$31:$A$33,0)&gt;='Calibración de recursos'!E$44,INDEX('Calibración de recursos'!$B$37:$G$39,MATCH($D8,'Calibración de recursos'!$A$37:$A$39,0),MATCH('Calibración de recursos'!E$43,'Calibración de recursos'!$B$36:$G$36,0))=1),1,0)</f>
        <v>1</v>
      </c>
      <c r="J8" s="61" t="n">
        <f aca="false">IF(AND(MATCH($C8,'Calibración de recursos'!$A$31:$A$33,0)&gt;='Calibración de recursos'!F$44,INDEX('Calibración de recursos'!$B$37:$G$39,MATCH($D8,'Calibración de recursos'!$A$37:$A$39,0),MATCH('Calibración de recursos'!F$43,'Calibración de recursos'!$B$36:$G$36,0))=1),1,0)</f>
        <v>1</v>
      </c>
      <c r="K8" s="61" t="n">
        <f aca="false">IF(AND(MATCH($C8,'Calibración de recursos'!$A$31:$A$33,0)&gt;='Calibración de recursos'!G$44,INDEX('Calibración de recursos'!$B$37:$G$39,MATCH($D8,'Calibración de recursos'!$A$37:$A$39,0),MATCH('Calibración de recursos'!G$43,'Calibración de recursos'!$B$36:$G$36,0))=1),1,0)</f>
        <v>1</v>
      </c>
      <c r="L8" s="61" t="n">
        <f aca="false">IF(AND(MATCH($C8,'Calibración de recursos'!$A$31:$A$33,0)&gt;='Calibración de recursos'!H$44,INDEX('Calibración de recursos'!$B$37:$G$39,MATCH($D8,'Calibración de recursos'!$A$37:$A$39,0),MATCH('Calibración de recursos'!H$43,'Calibración de recursos'!$B$36:$G$36,0))=1),1,0)</f>
        <v>1</v>
      </c>
      <c r="M8" s="61" t="n">
        <f aca="false">IF(AND(MATCH($C8,'Calibración de recursos'!$A$31:$A$33,0)&gt;='Calibración de recursos'!I$44,INDEX('Calibración de recursos'!$B$37:$G$39,MATCH($D8,'Calibración de recursos'!$A$37:$A$39,0),MATCH('Calibración de recursos'!I$43,'Calibración de recursos'!$B$36:$G$36,0))=1),1,0)</f>
        <v>0</v>
      </c>
      <c r="N8" s="61" t="n">
        <f aca="false">IF(AND(MATCH($C8,'Calibración de recursos'!$A$31:$A$33,0)&gt;='Calibración de recursos'!J$44,INDEX('Calibración de recursos'!$B$37:$G$39,MATCH($D8,'Calibración de recursos'!$A$37:$A$39,0),MATCH('Calibración de recursos'!J$43,'Calibración de recursos'!$B$36:$G$36,0))=1),1,0)</f>
        <v>1</v>
      </c>
      <c r="O8" s="61" t="n">
        <f aca="false">IF(AND(MATCH($C8,'Calibración de recursos'!$A$31:$A$33,0)&gt;='Calibración de recursos'!K$44,INDEX('Calibración de recursos'!$B$37:$G$39,MATCH($D8,'Calibración de recursos'!$A$37:$A$39,0),MATCH('Calibración de recursos'!K$43,'Calibración de recursos'!$B$36:$G$36,0))=1),1,0)</f>
        <v>1</v>
      </c>
      <c r="P8" s="61" t="n">
        <f aca="false">IF(AND(MATCH($C8,'Calibración de recursos'!$A$31:$A$33,0)&gt;='Calibración de recursos'!L$44,INDEX('Calibración de recursos'!$B$37:$G$39,MATCH($D8,'Calibración de recursos'!$A$37:$A$39,0),MATCH('Calibración de recursos'!L$43,'Calibración de recursos'!$B$36:$G$36,0))=1),1,0)</f>
        <v>1</v>
      </c>
      <c r="Q8" s="61" t="n">
        <f aca="false">IF(AND(MATCH($C8,'Calibración de recursos'!$A$31:$A$33,0)&gt;='Calibración de recursos'!M$44,INDEX('Calibración de recursos'!$B$37:$G$39,MATCH($D8,'Calibración de recursos'!$A$37:$A$39,0),MATCH('Calibración de recursos'!M$43,'Calibración de recursos'!$B$36:$G$36,0))=1),1,0)</f>
        <v>0</v>
      </c>
      <c r="R8" s="11" t="n">
        <f aca="false">SUM(F8:Q8)</f>
        <v>10</v>
      </c>
      <c r="S8" s="11" t="s">
        <v>869</v>
      </c>
    </row>
    <row r="9" customFormat="false" ht="23.85" hidden="false" customHeight="false" outlineLevel="0" collapsed="false">
      <c r="A9" s="11" t="s">
        <v>874</v>
      </c>
      <c r="B9" s="12" t="s">
        <v>866</v>
      </c>
      <c r="C9" s="46" t="s">
        <v>872</v>
      </c>
      <c r="D9" s="46" t="s">
        <v>868</v>
      </c>
      <c r="E9" s="53" t="n">
        <f aca="false">INDEX('Calibración de recursos'!$C$31:$C$33,MATCH(C9,'Calibración de recursos'!$A$31:$A$33,0))</f>
        <v>1</v>
      </c>
      <c r="F9" s="61" t="n">
        <f aca="false">IF(AND(MATCH($C9,'Calibración de recursos'!$A$31:$A$33,0)&gt;='Calibración de recursos'!B$44,INDEX('Calibración de recursos'!$B$37:$G$39,MATCH($D9,'Calibración de recursos'!$A$37:$A$39,0),MATCH('Calibración de recursos'!B$43,'Calibración de recursos'!$B$36:$G$36,0))=1),1,0)</f>
        <v>1</v>
      </c>
      <c r="G9" s="61" t="n">
        <f aca="false">IF(AND(MATCH($C9,'Calibración de recursos'!$A$31:$A$33,0)&gt;='Calibración de recursos'!C$44,INDEX('Calibración de recursos'!$B$37:$G$39,MATCH($D9,'Calibración de recursos'!$A$37:$A$39,0),MATCH('Calibración de recursos'!C$43,'Calibración de recursos'!$B$36:$G$36,0))=1),1,0)</f>
        <v>1</v>
      </c>
      <c r="H9" s="61" t="n">
        <f aca="false">IF(AND(MATCH($C9,'Calibración de recursos'!$A$31:$A$33,0)&gt;='Calibración de recursos'!D$44,INDEX('Calibración de recursos'!$B$37:$G$39,MATCH($D9,'Calibración de recursos'!$A$37:$A$39,0),MATCH('Calibración de recursos'!D$43,'Calibración de recursos'!$B$36:$G$36,0))=1),1,0)</f>
        <v>1</v>
      </c>
      <c r="I9" s="61" t="n">
        <f aca="false">IF(AND(MATCH($C9,'Calibración de recursos'!$A$31:$A$33,0)&gt;='Calibración de recursos'!E$44,INDEX('Calibración de recursos'!$B$37:$G$39,MATCH($D9,'Calibración de recursos'!$A$37:$A$39,0),MATCH('Calibración de recursos'!E$43,'Calibración de recursos'!$B$36:$G$36,0))=1),1,0)</f>
        <v>1</v>
      </c>
      <c r="J9" s="61" t="n">
        <f aca="false">IF(AND(MATCH($C9,'Calibración de recursos'!$A$31:$A$33,0)&gt;='Calibración de recursos'!F$44,INDEX('Calibración de recursos'!$B$37:$G$39,MATCH($D9,'Calibración de recursos'!$A$37:$A$39,0),MATCH('Calibración de recursos'!F$43,'Calibración de recursos'!$B$36:$G$36,0))=1),1,0)</f>
        <v>1</v>
      </c>
      <c r="K9" s="61" t="n">
        <f aca="false">IF(AND(MATCH($C9,'Calibración de recursos'!$A$31:$A$33,0)&gt;='Calibración de recursos'!G$44,INDEX('Calibración de recursos'!$B$37:$G$39,MATCH($D9,'Calibración de recursos'!$A$37:$A$39,0),MATCH('Calibración de recursos'!G$43,'Calibración de recursos'!$B$36:$G$36,0))=1),1,0)</f>
        <v>1</v>
      </c>
      <c r="L9" s="61" t="n">
        <f aca="false">IF(AND(MATCH($C9,'Calibración de recursos'!$A$31:$A$33,0)&gt;='Calibración de recursos'!H$44,INDEX('Calibración de recursos'!$B$37:$G$39,MATCH($D9,'Calibración de recursos'!$A$37:$A$39,0),MATCH('Calibración de recursos'!H$43,'Calibración de recursos'!$B$36:$G$36,0))=1),1,0)</f>
        <v>1</v>
      </c>
      <c r="M9" s="61" t="n">
        <f aca="false">IF(AND(MATCH($C9,'Calibración de recursos'!$A$31:$A$33,0)&gt;='Calibración de recursos'!I$44,INDEX('Calibración de recursos'!$B$37:$G$39,MATCH($D9,'Calibración de recursos'!$A$37:$A$39,0),MATCH('Calibración de recursos'!I$43,'Calibración de recursos'!$B$36:$G$36,0))=1),1,0)</f>
        <v>0</v>
      </c>
      <c r="N9" s="61" t="n">
        <f aca="false">IF(AND(MATCH($C9,'Calibración de recursos'!$A$31:$A$33,0)&gt;='Calibración de recursos'!J$44,INDEX('Calibración de recursos'!$B$37:$G$39,MATCH($D9,'Calibración de recursos'!$A$37:$A$39,0),MATCH('Calibración de recursos'!J$43,'Calibración de recursos'!$B$36:$G$36,0))=1),1,0)</f>
        <v>1</v>
      </c>
      <c r="O9" s="61" t="n">
        <f aca="false">IF(AND(MATCH($C9,'Calibración de recursos'!$A$31:$A$33,0)&gt;='Calibración de recursos'!K$44,INDEX('Calibración de recursos'!$B$37:$G$39,MATCH($D9,'Calibración de recursos'!$A$37:$A$39,0),MATCH('Calibración de recursos'!K$43,'Calibración de recursos'!$B$36:$G$36,0))=1),1,0)</f>
        <v>1</v>
      </c>
      <c r="P9" s="61" t="n">
        <f aca="false">IF(AND(MATCH($C9,'Calibración de recursos'!$A$31:$A$33,0)&gt;='Calibración de recursos'!L$44,INDEX('Calibración de recursos'!$B$37:$G$39,MATCH($D9,'Calibración de recursos'!$A$37:$A$39,0),MATCH('Calibración de recursos'!L$43,'Calibración de recursos'!$B$36:$G$36,0))=1),1,0)</f>
        <v>1</v>
      </c>
      <c r="Q9" s="61" t="n">
        <f aca="false">IF(AND(MATCH($C9,'Calibración de recursos'!$A$31:$A$33,0)&gt;='Calibración de recursos'!M$44,INDEX('Calibración de recursos'!$B$37:$G$39,MATCH($D9,'Calibración de recursos'!$A$37:$A$39,0),MATCH('Calibración de recursos'!M$43,'Calibración de recursos'!$B$36:$G$36,0))=1),1,0)</f>
        <v>0</v>
      </c>
      <c r="R9" s="11" t="n">
        <f aca="false">SUM(F9:Q9)</f>
        <v>10</v>
      </c>
      <c r="S9" s="11" t="s">
        <v>869</v>
      </c>
    </row>
    <row r="10" customFormat="false" ht="23.85" hidden="false" customHeight="false" outlineLevel="0" collapsed="false">
      <c r="A10" s="11" t="s">
        <v>875</v>
      </c>
      <c r="B10" s="12" t="s">
        <v>866</v>
      </c>
      <c r="C10" s="46" t="s">
        <v>872</v>
      </c>
      <c r="D10" s="46" t="s">
        <v>868</v>
      </c>
      <c r="E10" s="53" t="n">
        <f aca="false">INDEX('Calibración de recursos'!$C$31:$C$33,MATCH(C10,'Calibración de recursos'!$A$31:$A$33,0))</f>
        <v>1</v>
      </c>
      <c r="F10" s="61" t="n">
        <f aca="false">IF(AND(MATCH($C10,'Calibración de recursos'!$A$31:$A$33,0)&gt;='Calibración de recursos'!B$44,INDEX('Calibración de recursos'!$B$37:$G$39,MATCH($D10,'Calibración de recursos'!$A$37:$A$39,0),MATCH('Calibración de recursos'!B$43,'Calibración de recursos'!$B$36:$G$36,0))=1),1,0)</f>
        <v>1</v>
      </c>
      <c r="G10" s="61" t="n">
        <f aca="false">IF(AND(MATCH($C10,'Calibración de recursos'!$A$31:$A$33,0)&gt;='Calibración de recursos'!C$44,INDEX('Calibración de recursos'!$B$37:$G$39,MATCH($D10,'Calibración de recursos'!$A$37:$A$39,0),MATCH('Calibración de recursos'!C$43,'Calibración de recursos'!$B$36:$G$36,0))=1),1,0)</f>
        <v>1</v>
      </c>
      <c r="H10" s="61" t="n">
        <f aca="false">IF(AND(MATCH($C10,'Calibración de recursos'!$A$31:$A$33,0)&gt;='Calibración de recursos'!D$44,INDEX('Calibración de recursos'!$B$37:$G$39,MATCH($D10,'Calibración de recursos'!$A$37:$A$39,0),MATCH('Calibración de recursos'!D$43,'Calibración de recursos'!$B$36:$G$36,0))=1),1,0)</f>
        <v>1</v>
      </c>
      <c r="I10" s="61" t="n">
        <f aca="false">IF(AND(MATCH($C10,'Calibración de recursos'!$A$31:$A$33,0)&gt;='Calibración de recursos'!E$44,INDEX('Calibración de recursos'!$B$37:$G$39,MATCH($D10,'Calibración de recursos'!$A$37:$A$39,0),MATCH('Calibración de recursos'!E$43,'Calibración de recursos'!$B$36:$G$36,0))=1),1,0)</f>
        <v>1</v>
      </c>
      <c r="J10" s="61" t="n">
        <f aca="false">IF(AND(MATCH($C10,'Calibración de recursos'!$A$31:$A$33,0)&gt;='Calibración de recursos'!F$44,INDEX('Calibración de recursos'!$B$37:$G$39,MATCH($D10,'Calibración de recursos'!$A$37:$A$39,0),MATCH('Calibración de recursos'!F$43,'Calibración de recursos'!$B$36:$G$36,0))=1),1,0)</f>
        <v>1</v>
      </c>
      <c r="K10" s="61" t="n">
        <f aca="false">IF(AND(MATCH($C10,'Calibración de recursos'!$A$31:$A$33,0)&gt;='Calibración de recursos'!G$44,INDEX('Calibración de recursos'!$B$37:$G$39,MATCH($D10,'Calibración de recursos'!$A$37:$A$39,0),MATCH('Calibración de recursos'!G$43,'Calibración de recursos'!$B$36:$G$36,0))=1),1,0)</f>
        <v>1</v>
      </c>
      <c r="L10" s="61" t="n">
        <f aca="false">IF(AND(MATCH($C10,'Calibración de recursos'!$A$31:$A$33,0)&gt;='Calibración de recursos'!H$44,INDEX('Calibración de recursos'!$B$37:$G$39,MATCH($D10,'Calibración de recursos'!$A$37:$A$39,0),MATCH('Calibración de recursos'!H$43,'Calibración de recursos'!$B$36:$G$36,0))=1),1,0)</f>
        <v>1</v>
      </c>
      <c r="M10" s="61" t="n">
        <f aca="false">IF(AND(MATCH($C10,'Calibración de recursos'!$A$31:$A$33,0)&gt;='Calibración de recursos'!I$44,INDEX('Calibración de recursos'!$B$37:$G$39,MATCH($D10,'Calibración de recursos'!$A$37:$A$39,0),MATCH('Calibración de recursos'!I$43,'Calibración de recursos'!$B$36:$G$36,0))=1),1,0)</f>
        <v>0</v>
      </c>
      <c r="N10" s="61" t="n">
        <f aca="false">IF(AND(MATCH($C10,'Calibración de recursos'!$A$31:$A$33,0)&gt;='Calibración de recursos'!J$44,INDEX('Calibración de recursos'!$B$37:$G$39,MATCH($D10,'Calibración de recursos'!$A$37:$A$39,0),MATCH('Calibración de recursos'!J$43,'Calibración de recursos'!$B$36:$G$36,0))=1),1,0)</f>
        <v>1</v>
      </c>
      <c r="O10" s="61" t="n">
        <f aca="false">IF(AND(MATCH($C10,'Calibración de recursos'!$A$31:$A$33,0)&gt;='Calibración de recursos'!K$44,INDEX('Calibración de recursos'!$B$37:$G$39,MATCH($D10,'Calibración de recursos'!$A$37:$A$39,0),MATCH('Calibración de recursos'!K$43,'Calibración de recursos'!$B$36:$G$36,0))=1),1,0)</f>
        <v>1</v>
      </c>
      <c r="P10" s="61" t="n">
        <f aca="false">IF(AND(MATCH($C10,'Calibración de recursos'!$A$31:$A$33,0)&gt;='Calibración de recursos'!L$44,INDEX('Calibración de recursos'!$B$37:$G$39,MATCH($D10,'Calibración de recursos'!$A$37:$A$39,0),MATCH('Calibración de recursos'!L$43,'Calibración de recursos'!$B$36:$G$36,0))=1),1,0)</f>
        <v>1</v>
      </c>
      <c r="Q10" s="61" t="n">
        <f aca="false">IF(AND(MATCH($C10,'Calibración de recursos'!$A$31:$A$33,0)&gt;='Calibración de recursos'!M$44,INDEX('Calibración de recursos'!$B$37:$G$39,MATCH($D10,'Calibración de recursos'!$A$37:$A$39,0),MATCH('Calibración de recursos'!M$43,'Calibración de recursos'!$B$36:$G$36,0))=1),1,0)</f>
        <v>0</v>
      </c>
      <c r="R10" s="11" t="n">
        <f aca="false">SUM(F10:Q10)</f>
        <v>10</v>
      </c>
      <c r="S10" s="11" t="s">
        <v>869</v>
      </c>
    </row>
    <row r="11" customFormat="false" ht="23.85" hidden="false" customHeight="false" outlineLevel="0" collapsed="false">
      <c r="A11" s="11" t="s">
        <v>876</v>
      </c>
      <c r="B11" s="12" t="s">
        <v>877</v>
      </c>
      <c r="C11" s="46" t="s">
        <v>867</v>
      </c>
      <c r="D11" s="46" t="s">
        <v>878</v>
      </c>
      <c r="E11" s="53" t="n">
        <f aca="false">INDEX('Calibración de recursos'!$C$31:$C$33,MATCH(C11,'Calibración de recursos'!$A$31:$A$33,0))</f>
        <v>0.9</v>
      </c>
      <c r="F11" s="61" t="n">
        <f aca="false">IF(AND(MATCH($C11,'Calibración de recursos'!$A$31:$A$33,0)&gt;='Calibración de recursos'!B$44,INDEX('Calibración de recursos'!$B$37:$G$39,MATCH($D11,'Calibración de recursos'!$A$37:$A$39,0),MATCH('Calibración de recursos'!B$43,'Calibración de recursos'!$B$36:$G$36,0))=1),1,0)</f>
        <v>1</v>
      </c>
      <c r="G11" s="61" t="n">
        <f aca="false">IF(AND(MATCH($C11,'Calibración de recursos'!$A$31:$A$33,0)&gt;='Calibración de recursos'!C$44,INDEX('Calibración de recursos'!$B$37:$G$39,MATCH($D11,'Calibración de recursos'!$A$37:$A$39,0),MATCH('Calibración de recursos'!C$43,'Calibración de recursos'!$B$36:$G$36,0))=1),1,0)</f>
        <v>1</v>
      </c>
      <c r="H11" s="61" t="n">
        <f aca="false">IF(AND(MATCH($C11,'Calibración de recursos'!$A$31:$A$33,0)&gt;='Calibración de recursos'!D$44,INDEX('Calibración de recursos'!$B$37:$G$39,MATCH($D11,'Calibración de recursos'!$A$37:$A$39,0),MATCH('Calibración de recursos'!D$43,'Calibración de recursos'!$B$36:$G$36,0))=1),1,0)</f>
        <v>1</v>
      </c>
      <c r="I11" s="61" t="n">
        <f aca="false">IF(AND(MATCH($C11,'Calibración de recursos'!$A$31:$A$33,0)&gt;='Calibración de recursos'!E$44,INDEX('Calibración de recursos'!$B$37:$G$39,MATCH($D11,'Calibración de recursos'!$A$37:$A$39,0),MATCH('Calibración de recursos'!E$43,'Calibración de recursos'!$B$36:$G$36,0))=1),1,0)</f>
        <v>1</v>
      </c>
      <c r="J11" s="61" t="n">
        <f aca="false">IF(AND(MATCH($C11,'Calibración de recursos'!$A$31:$A$33,0)&gt;='Calibración de recursos'!F$44,INDEX('Calibración de recursos'!$B$37:$G$39,MATCH($D11,'Calibración de recursos'!$A$37:$A$39,0),MATCH('Calibración de recursos'!F$43,'Calibración de recursos'!$B$36:$G$36,0))=1),1,0)</f>
        <v>0</v>
      </c>
      <c r="K11" s="61" t="n">
        <f aca="false">IF(AND(MATCH($C11,'Calibración de recursos'!$A$31:$A$33,0)&gt;='Calibración de recursos'!G$44,INDEX('Calibración de recursos'!$B$37:$G$39,MATCH($D11,'Calibración de recursos'!$A$37:$A$39,0),MATCH('Calibración de recursos'!G$43,'Calibración de recursos'!$B$36:$G$36,0))=1),1,0)</f>
        <v>0</v>
      </c>
      <c r="L11" s="61" t="n">
        <f aca="false">IF(AND(MATCH($C11,'Calibración de recursos'!$A$31:$A$33,0)&gt;='Calibración de recursos'!H$44,INDEX('Calibración de recursos'!$B$37:$G$39,MATCH($D11,'Calibración de recursos'!$A$37:$A$39,0),MATCH('Calibración de recursos'!H$43,'Calibración de recursos'!$B$36:$G$36,0))=1),1,0)</f>
        <v>0</v>
      </c>
      <c r="M11" s="61" t="n">
        <f aca="false">IF(AND(MATCH($C11,'Calibración de recursos'!$A$31:$A$33,0)&gt;='Calibración de recursos'!I$44,INDEX('Calibración de recursos'!$B$37:$G$39,MATCH($D11,'Calibración de recursos'!$A$37:$A$39,0),MATCH('Calibración de recursos'!I$43,'Calibración de recursos'!$B$36:$G$36,0))=1),1,0)</f>
        <v>0</v>
      </c>
      <c r="N11" s="61" t="n">
        <f aca="false">IF(AND(MATCH($C11,'Calibración de recursos'!$A$31:$A$33,0)&gt;='Calibración de recursos'!J$44,INDEX('Calibración de recursos'!$B$37:$G$39,MATCH($D11,'Calibración de recursos'!$A$37:$A$39,0),MATCH('Calibración de recursos'!J$43,'Calibración de recursos'!$B$36:$G$36,0))=1),1,0)</f>
        <v>0</v>
      </c>
      <c r="O11" s="61" t="n">
        <f aca="false">IF(AND(MATCH($C11,'Calibración de recursos'!$A$31:$A$33,0)&gt;='Calibración de recursos'!K$44,INDEX('Calibración de recursos'!$B$37:$G$39,MATCH($D11,'Calibración de recursos'!$A$37:$A$39,0),MATCH('Calibración de recursos'!K$43,'Calibración de recursos'!$B$36:$G$36,0))=1),1,0)</f>
        <v>0</v>
      </c>
      <c r="P11" s="61" t="n">
        <f aca="false">IF(AND(MATCH($C11,'Calibración de recursos'!$A$31:$A$33,0)&gt;='Calibración de recursos'!L$44,INDEX('Calibración de recursos'!$B$37:$G$39,MATCH($D11,'Calibración de recursos'!$A$37:$A$39,0),MATCH('Calibración de recursos'!L$43,'Calibración de recursos'!$B$36:$G$36,0))=1),1,0)</f>
        <v>0</v>
      </c>
      <c r="Q11" s="61" t="n">
        <f aca="false">IF(AND(MATCH($C11,'Calibración de recursos'!$A$31:$A$33,0)&gt;='Calibración de recursos'!M$44,INDEX('Calibración de recursos'!$B$37:$G$39,MATCH($D11,'Calibración de recursos'!$A$37:$A$39,0),MATCH('Calibración de recursos'!M$43,'Calibración de recursos'!$B$36:$G$36,0))=1),1,0)</f>
        <v>0</v>
      </c>
      <c r="R11" s="11" t="n">
        <f aca="false">SUM(F11:Q11)</f>
        <v>4</v>
      </c>
      <c r="S11" s="11" t="s">
        <v>869</v>
      </c>
    </row>
    <row r="12" customFormat="false" ht="23.85" hidden="false" customHeight="false" outlineLevel="0" collapsed="false">
      <c r="A12" s="11" t="s">
        <v>879</v>
      </c>
      <c r="B12" s="12" t="s">
        <v>877</v>
      </c>
      <c r="C12" s="46" t="s">
        <v>872</v>
      </c>
      <c r="D12" s="46" t="s">
        <v>878</v>
      </c>
      <c r="E12" s="53" t="n">
        <f aca="false">INDEX('Calibración de recursos'!$C$31:$C$33,MATCH(C12,'Calibración de recursos'!$A$31:$A$33,0))</f>
        <v>1</v>
      </c>
      <c r="F12" s="61" t="n">
        <f aca="false">IF(AND(MATCH($C12,'Calibración de recursos'!$A$31:$A$33,0)&gt;='Calibración de recursos'!B$44,INDEX('Calibración de recursos'!$B$37:$G$39,MATCH($D12,'Calibración de recursos'!$A$37:$A$39,0),MATCH('Calibración de recursos'!B$43,'Calibración de recursos'!$B$36:$G$36,0))=1),1,0)</f>
        <v>1</v>
      </c>
      <c r="G12" s="61" t="n">
        <f aca="false">IF(AND(MATCH($C12,'Calibración de recursos'!$A$31:$A$33,0)&gt;='Calibración de recursos'!C$44,INDEX('Calibración de recursos'!$B$37:$G$39,MATCH($D12,'Calibración de recursos'!$A$37:$A$39,0),MATCH('Calibración de recursos'!C$43,'Calibración de recursos'!$B$36:$G$36,0))=1),1,0)</f>
        <v>1</v>
      </c>
      <c r="H12" s="61" t="n">
        <f aca="false">IF(AND(MATCH($C12,'Calibración de recursos'!$A$31:$A$33,0)&gt;='Calibración de recursos'!D$44,INDEX('Calibración de recursos'!$B$37:$G$39,MATCH($D12,'Calibración de recursos'!$A$37:$A$39,0),MATCH('Calibración de recursos'!D$43,'Calibración de recursos'!$B$36:$G$36,0))=1),1,0)</f>
        <v>1</v>
      </c>
      <c r="I12" s="61" t="n">
        <f aca="false">IF(AND(MATCH($C12,'Calibración de recursos'!$A$31:$A$33,0)&gt;='Calibración de recursos'!E$44,INDEX('Calibración de recursos'!$B$37:$G$39,MATCH($D12,'Calibración de recursos'!$A$37:$A$39,0),MATCH('Calibración de recursos'!E$43,'Calibración de recursos'!$B$36:$G$36,0))=1),1,0)</f>
        <v>1</v>
      </c>
      <c r="J12" s="61" t="n">
        <f aca="false">IF(AND(MATCH($C12,'Calibración de recursos'!$A$31:$A$33,0)&gt;='Calibración de recursos'!F$44,INDEX('Calibración de recursos'!$B$37:$G$39,MATCH($D12,'Calibración de recursos'!$A$37:$A$39,0),MATCH('Calibración de recursos'!F$43,'Calibración de recursos'!$B$36:$G$36,0))=1),1,0)</f>
        <v>0</v>
      </c>
      <c r="K12" s="61" t="n">
        <f aca="false">IF(AND(MATCH($C12,'Calibración de recursos'!$A$31:$A$33,0)&gt;='Calibración de recursos'!G$44,INDEX('Calibración de recursos'!$B$37:$G$39,MATCH($D12,'Calibración de recursos'!$A$37:$A$39,0),MATCH('Calibración de recursos'!G$43,'Calibración de recursos'!$B$36:$G$36,0))=1),1,0)</f>
        <v>0</v>
      </c>
      <c r="L12" s="61" t="n">
        <f aca="false">IF(AND(MATCH($C12,'Calibración de recursos'!$A$31:$A$33,0)&gt;='Calibración de recursos'!H$44,INDEX('Calibración de recursos'!$B$37:$G$39,MATCH($D12,'Calibración de recursos'!$A$37:$A$39,0),MATCH('Calibración de recursos'!H$43,'Calibración de recursos'!$B$36:$G$36,0))=1),1,0)</f>
        <v>0</v>
      </c>
      <c r="M12" s="61" t="n">
        <f aca="false">IF(AND(MATCH($C12,'Calibración de recursos'!$A$31:$A$33,0)&gt;='Calibración de recursos'!I$44,INDEX('Calibración de recursos'!$B$37:$G$39,MATCH($D12,'Calibración de recursos'!$A$37:$A$39,0),MATCH('Calibración de recursos'!I$43,'Calibración de recursos'!$B$36:$G$36,0))=1),1,0)</f>
        <v>0</v>
      </c>
      <c r="N12" s="61" t="n">
        <f aca="false">IF(AND(MATCH($C12,'Calibración de recursos'!$A$31:$A$33,0)&gt;='Calibración de recursos'!J$44,INDEX('Calibración de recursos'!$B$37:$G$39,MATCH($D12,'Calibración de recursos'!$A$37:$A$39,0),MATCH('Calibración de recursos'!J$43,'Calibración de recursos'!$B$36:$G$36,0))=1),1,0)</f>
        <v>0</v>
      </c>
      <c r="O12" s="61" t="n">
        <f aca="false">IF(AND(MATCH($C12,'Calibración de recursos'!$A$31:$A$33,0)&gt;='Calibración de recursos'!K$44,INDEX('Calibración de recursos'!$B$37:$G$39,MATCH($D12,'Calibración de recursos'!$A$37:$A$39,0),MATCH('Calibración de recursos'!K$43,'Calibración de recursos'!$B$36:$G$36,0))=1),1,0)</f>
        <v>0</v>
      </c>
      <c r="P12" s="61" t="n">
        <f aca="false">IF(AND(MATCH($C12,'Calibración de recursos'!$A$31:$A$33,0)&gt;='Calibración de recursos'!L$44,INDEX('Calibración de recursos'!$B$37:$G$39,MATCH($D12,'Calibración de recursos'!$A$37:$A$39,0),MATCH('Calibración de recursos'!L$43,'Calibración de recursos'!$B$36:$G$36,0))=1),1,0)</f>
        <v>0</v>
      </c>
      <c r="Q12" s="61" t="n">
        <f aca="false">IF(AND(MATCH($C12,'Calibración de recursos'!$A$31:$A$33,0)&gt;='Calibración de recursos'!M$44,INDEX('Calibración de recursos'!$B$37:$G$39,MATCH($D12,'Calibración de recursos'!$A$37:$A$39,0),MATCH('Calibración de recursos'!M$43,'Calibración de recursos'!$B$36:$G$36,0))=1),1,0)</f>
        <v>0</v>
      </c>
      <c r="R12" s="11" t="n">
        <f aca="false">SUM(F12:Q12)</f>
        <v>4</v>
      </c>
      <c r="S12" s="11" t="s">
        <v>869</v>
      </c>
    </row>
    <row r="13" customFormat="false" ht="23.85" hidden="false" customHeight="false" outlineLevel="0" collapsed="false">
      <c r="A13" s="11" t="s">
        <v>880</v>
      </c>
      <c r="B13" s="12" t="s">
        <v>877</v>
      </c>
      <c r="C13" s="46" t="s">
        <v>872</v>
      </c>
      <c r="D13" s="46" t="s">
        <v>881</v>
      </c>
      <c r="E13" s="53" t="n">
        <f aca="false">INDEX('Calibración de recursos'!$C$31:$C$33,MATCH(C13,'Calibración de recursos'!$A$31:$A$33,0))</f>
        <v>1</v>
      </c>
      <c r="F13" s="61" t="n">
        <f aca="false">IF(AND(MATCH($C13,'Calibración de recursos'!$A$31:$A$33,0)&gt;='Calibración de recursos'!B$44,INDEX('Calibración de recursos'!$B$37:$G$39,MATCH($D13,'Calibración de recursos'!$A$37:$A$39,0),MATCH('Calibración de recursos'!B$43,'Calibración de recursos'!$B$36:$G$36,0))=1),1,0)</f>
        <v>0</v>
      </c>
      <c r="G13" s="61" t="n">
        <f aca="false">IF(AND(MATCH($C13,'Calibración de recursos'!$A$31:$A$33,0)&gt;='Calibración de recursos'!C$44,INDEX('Calibración de recursos'!$B$37:$G$39,MATCH($D13,'Calibración de recursos'!$A$37:$A$39,0),MATCH('Calibración de recursos'!C$43,'Calibración de recursos'!$B$36:$G$36,0))=1),1,0)</f>
        <v>0</v>
      </c>
      <c r="H13" s="61" t="n">
        <f aca="false">IF(AND(MATCH($C13,'Calibración de recursos'!$A$31:$A$33,0)&gt;='Calibración de recursos'!D$44,INDEX('Calibración de recursos'!$B$37:$G$39,MATCH($D13,'Calibración de recursos'!$A$37:$A$39,0),MATCH('Calibración de recursos'!D$43,'Calibración de recursos'!$B$36:$G$36,0))=1),1,0)</f>
        <v>0</v>
      </c>
      <c r="I13" s="61" t="n">
        <f aca="false">IF(AND(MATCH($C13,'Calibración de recursos'!$A$31:$A$33,0)&gt;='Calibración de recursos'!E$44,INDEX('Calibración de recursos'!$B$37:$G$39,MATCH($D13,'Calibración de recursos'!$A$37:$A$39,0),MATCH('Calibración de recursos'!E$43,'Calibración de recursos'!$B$36:$G$36,0))=1),1,0)</f>
        <v>0</v>
      </c>
      <c r="J13" s="61" t="n">
        <f aca="false">IF(AND(MATCH($C13,'Calibración de recursos'!$A$31:$A$33,0)&gt;='Calibración de recursos'!F$44,INDEX('Calibración de recursos'!$B$37:$G$39,MATCH($D13,'Calibración de recursos'!$A$37:$A$39,0),MATCH('Calibración de recursos'!F$43,'Calibración de recursos'!$B$36:$G$36,0))=1),1,0)</f>
        <v>1</v>
      </c>
      <c r="K13" s="61" t="n">
        <f aca="false">IF(AND(MATCH($C13,'Calibración de recursos'!$A$31:$A$33,0)&gt;='Calibración de recursos'!G$44,INDEX('Calibración de recursos'!$B$37:$G$39,MATCH($D13,'Calibración de recursos'!$A$37:$A$39,0),MATCH('Calibración de recursos'!G$43,'Calibración de recursos'!$B$36:$G$36,0))=1),1,0)</f>
        <v>1</v>
      </c>
      <c r="L13" s="61" t="n">
        <f aca="false">IF(AND(MATCH($C13,'Calibración de recursos'!$A$31:$A$33,0)&gt;='Calibración de recursos'!H$44,INDEX('Calibración de recursos'!$B$37:$G$39,MATCH($D13,'Calibración de recursos'!$A$37:$A$39,0),MATCH('Calibración de recursos'!H$43,'Calibración de recursos'!$B$36:$G$36,0))=1),1,0)</f>
        <v>1</v>
      </c>
      <c r="M13" s="61" t="n">
        <f aca="false">IF(AND(MATCH($C13,'Calibración de recursos'!$A$31:$A$33,0)&gt;='Calibración de recursos'!I$44,INDEX('Calibración de recursos'!$B$37:$G$39,MATCH($D13,'Calibración de recursos'!$A$37:$A$39,0),MATCH('Calibración de recursos'!I$43,'Calibración de recursos'!$B$36:$G$36,0))=1),1,0)</f>
        <v>0</v>
      </c>
      <c r="N13" s="61" t="n">
        <f aca="false">IF(AND(MATCH($C13,'Calibración de recursos'!$A$31:$A$33,0)&gt;='Calibración de recursos'!J$44,INDEX('Calibración de recursos'!$B$37:$G$39,MATCH($D13,'Calibración de recursos'!$A$37:$A$39,0),MATCH('Calibración de recursos'!J$43,'Calibración de recursos'!$B$36:$G$36,0))=1),1,0)</f>
        <v>1</v>
      </c>
      <c r="O13" s="61" t="n">
        <f aca="false">IF(AND(MATCH($C13,'Calibración de recursos'!$A$31:$A$33,0)&gt;='Calibración de recursos'!K$44,INDEX('Calibración de recursos'!$B$37:$G$39,MATCH($D13,'Calibración de recursos'!$A$37:$A$39,0),MATCH('Calibración de recursos'!K$43,'Calibración de recursos'!$B$36:$G$36,0))=1),1,0)</f>
        <v>1</v>
      </c>
      <c r="P13" s="61" t="n">
        <f aca="false">IF(AND(MATCH($C13,'Calibración de recursos'!$A$31:$A$33,0)&gt;='Calibración de recursos'!L$44,INDEX('Calibración de recursos'!$B$37:$G$39,MATCH($D13,'Calibración de recursos'!$A$37:$A$39,0),MATCH('Calibración de recursos'!L$43,'Calibración de recursos'!$B$36:$G$36,0))=1),1,0)</f>
        <v>1</v>
      </c>
      <c r="Q13" s="61" t="n">
        <f aca="false">IF(AND(MATCH($C13,'Calibración de recursos'!$A$31:$A$33,0)&gt;='Calibración de recursos'!M$44,INDEX('Calibración de recursos'!$B$37:$G$39,MATCH($D13,'Calibración de recursos'!$A$37:$A$39,0),MATCH('Calibración de recursos'!M$43,'Calibración de recursos'!$B$36:$G$36,0))=1),1,0)</f>
        <v>0</v>
      </c>
      <c r="R13" s="11" t="n">
        <f aca="false">SUM(F13:Q13)</f>
        <v>6</v>
      </c>
      <c r="S13" s="11" t="s">
        <v>869</v>
      </c>
    </row>
    <row r="14" customFormat="false" ht="23.85" hidden="false" customHeight="false" outlineLevel="0" collapsed="false">
      <c r="A14" s="11" t="s">
        <v>882</v>
      </c>
      <c r="B14" s="12" t="s">
        <v>877</v>
      </c>
      <c r="C14" s="46" t="s">
        <v>883</v>
      </c>
      <c r="D14" s="46" t="s">
        <v>878</v>
      </c>
      <c r="E14" s="53" t="n">
        <f aca="false">INDEX('Calibración de recursos'!$C$31:$C$33,MATCH(C14,'Calibración de recursos'!$A$31:$A$33,0))</f>
        <v>1.15</v>
      </c>
      <c r="F14" s="61" t="n">
        <f aca="false">IF(AND(MATCH($C14,'Calibración de recursos'!$A$31:$A$33,0)&gt;='Calibración de recursos'!B$44,INDEX('Calibración de recursos'!$B$37:$G$39,MATCH($D14,'Calibración de recursos'!$A$37:$A$39,0),MATCH('Calibración de recursos'!B$43,'Calibración de recursos'!$B$36:$G$36,0))=1),1,0)</f>
        <v>1</v>
      </c>
      <c r="G14" s="61" t="n">
        <f aca="false">IF(AND(MATCH($C14,'Calibración de recursos'!$A$31:$A$33,0)&gt;='Calibración de recursos'!C$44,INDEX('Calibración de recursos'!$B$37:$G$39,MATCH($D14,'Calibración de recursos'!$A$37:$A$39,0),MATCH('Calibración de recursos'!C$43,'Calibración de recursos'!$B$36:$G$36,0))=1),1,0)</f>
        <v>0</v>
      </c>
      <c r="H14" s="61" t="n">
        <f aca="false">IF(AND(MATCH($C14,'Calibración de recursos'!$A$31:$A$33,0)&gt;='Calibración de recursos'!D$44,INDEX('Calibración de recursos'!$B$37:$G$39,MATCH($D14,'Calibración de recursos'!$A$37:$A$39,0),MATCH('Calibración de recursos'!D$43,'Calibración de recursos'!$B$36:$G$36,0))=1),1,0)</f>
        <v>1</v>
      </c>
      <c r="I14" s="61" t="n">
        <f aca="false">IF(AND(MATCH($C14,'Calibración de recursos'!$A$31:$A$33,0)&gt;='Calibración de recursos'!E$44,INDEX('Calibración de recursos'!$B$37:$G$39,MATCH($D14,'Calibración de recursos'!$A$37:$A$39,0),MATCH('Calibración de recursos'!E$43,'Calibración de recursos'!$B$36:$G$36,0))=1),1,0)</f>
        <v>0</v>
      </c>
      <c r="J14" s="61" t="n">
        <f aca="false">IF(AND(MATCH($C14,'Calibración de recursos'!$A$31:$A$33,0)&gt;='Calibración de recursos'!F$44,INDEX('Calibración de recursos'!$B$37:$G$39,MATCH($D14,'Calibración de recursos'!$A$37:$A$39,0),MATCH('Calibración de recursos'!F$43,'Calibración de recursos'!$B$36:$G$36,0))=1),1,0)</f>
        <v>0</v>
      </c>
      <c r="K14" s="61" t="n">
        <f aca="false">IF(AND(MATCH($C14,'Calibración de recursos'!$A$31:$A$33,0)&gt;='Calibración de recursos'!G$44,INDEX('Calibración de recursos'!$B$37:$G$39,MATCH($D14,'Calibración de recursos'!$A$37:$A$39,0),MATCH('Calibración de recursos'!G$43,'Calibración de recursos'!$B$36:$G$36,0))=1),1,0)</f>
        <v>0</v>
      </c>
      <c r="L14" s="61" t="n">
        <f aca="false">IF(AND(MATCH($C14,'Calibración de recursos'!$A$31:$A$33,0)&gt;='Calibración de recursos'!H$44,INDEX('Calibración de recursos'!$B$37:$G$39,MATCH($D14,'Calibración de recursos'!$A$37:$A$39,0),MATCH('Calibración de recursos'!H$43,'Calibración de recursos'!$B$36:$G$36,0))=1),1,0)</f>
        <v>0</v>
      </c>
      <c r="M14" s="61" t="n">
        <f aca="false">IF(AND(MATCH($C14,'Calibración de recursos'!$A$31:$A$33,0)&gt;='Calibración de recursos'!I$44,INDEX('Calibración de recursos'!$B$37:$G$39,MATCH($D14,'Calibración de recursos'!$A$37:$A$39,0),MATCH('Calibración de recursos'!I$43,'Calibración de recursos'!$B$36:$G$36,0))=1),1,0)</f>
        <v>0</v>
      </c>
      <c r="N14" s="61" t="n">
        <f aca="false">IF(AND(MATCH($C14,'Calibración de recursos'!$A$31:$A$33,0)&gt;='Calibración de recursos'!J$44,INDEX('Calibración de recursos'!$B$37:$G$39,MATCH($D14,'Calibración de recursos'!$A$37:$A$39,0),MATCH('Calibración de recursos'!J$43,'Calibración de recursos'!$B$36:$G$36,0))=1),1,0)</f>
        <v>0</v>
      </c>
      <c r="O14" s="61" t="n">
        <f aca="false">IF(AND(MATCH($C14,'Calibración de recursos'!$A$31:$A$33,0)&gt;='Calibración de recursos'!K$44,INDEX('Calibración de recursos'!$B$37:$G$39,MATCH($D14,'Calibración de recursos'!$A$37:$A$39,0),MATCH('Calibración de recursos'!K$43,'Calibración de recursos'!$B$36:$G$36,0))=1),1,0)</f>
        <v>0</v>
      </c>
      <c r="P14" s="61" t="n">
        <f aca="false">IF(AND(MATCH($C14,'Calibración de recursos'!$A$31:$A$33,0)&gt;='Calibración de recursos'!L$44,INDEX('Calibración de recursos'!$B$37:$G$39,MATCH($D14,'Calibración de recursos'!$A$37:$A$39,0),MATCH('Calibración de recursos'!L$43,'Calibración de recursos'!$B$36:$G$36,0))=1),1,0)</f>
        <v>0</v>
      </c>
      <c r="Q14" s="61" t="n">
        <f aca="false">IF(AND(MATCH($C14,'Calibración de recursos'!$A$31:$A$33,0)&gt;='Calibración de recursos'!M$44,INDEX('Calibración de recursos'!$B$37:$G$39,MATCH($D14,'Calibración de recursos'!$A$37:$A$39,0),MATCH('Calibración de recursos'!M$43,'Calibración de recursos'!$B$36:$G$36,0))=1),1,0)</f>
        <v>0</v>
      </c>
      <c r="R14" s="11" t="n">
        <f aca="false">SUM(F14:Q14)</f>
        <v>2</v>
      </c>
      <c r="S14" s="11" t="s">
        <v>869</v>
      </c>
    </row>
    <row r="15" customFormat="false" ht="23.85" hidden="false" customHeight="false" outlineLevel="0" collapsed="false">
      <c r="A15" s="11" t="s">
        <v>884</v>
      </c>
      <c r="B15" s="12" t="s">
        <v>885</v>
      </c>
      <c r="C15" s="46" t="s">
        <v>867</v>
      </c>
      <c r="D15" s="46" t="s">
        <v>878</v>
      </c>
      <c r="E15" s="53" t="n">
        <f aca="false">INDEX('Calibración de recursos'!$C$31:$C$33,MATCH(C15,'Calibración de recursos'!$A$31:$A$33,0))</f>
        <v>0.9</v>
      </c>
      <c r="F15" s="61" t="n">
        <f aca="false">IF(AND(MATCH($C15,'Calibración de recursos'!$A$31:$A$33,0)&gt;='Calibración de recursos'!B$44,INDEX('Calibración de recursos'!$B$37:$G$39,MATCH($D15,'Calibración de recursos'!$A$37:$A$39,0),MATCH('Calibración de recursos'!B$43,'Calibración de recursos'!$B$36:$G$36,0))=1),1,0)</f>
        <v>1</v>
      </c>
      <c r="G15" s="61" t="n">
        <f aca="false">IF(AND(MATCH($C15,'Calibración de recursos'!$A$31:$A$33,0)&gt;='Calibración de recursos'!C$44,INDEX('Calibración de recursos'!$B$37:$G$39,MATCH($D15,'Calibración de recursos'!$A$37:$A$39,0),MATCH('Calibración de recursos'!C$43,'Calibración de recursos'!$B$36:$G$36,0))=1),1,0)</f>
        <v>1</v>
      </c>
      <c r="H15" s="61" t="n">
        <f aca="false">IF(AND(MATCH($C15,'Calibración de recursos'!$A$31:$A$33,0)&gt;='Calibración de recursos'!D$44,INDEX('Calibración de recursos'!$B$37:$G$39,MATCH($D15,'Calibración de recursos'!$A$37:$A$39,0),MATCH('Calibración de recursos'!D$43,'Calibración de recursos'!$B$36:$G$36,0))=1),1,0)</f>
        <v>1</v>
      </c>
      <c r="I15" s="61" t="n">
        <f aca="false">IF(AND(MATCH($C15,'Calibración de recursos'!$A$31:$A$33,0)&gt;='Calibración de recursos'!E$44,INDEX('Calibración de recursos'!$B$37:$G$39,MATCH($D15,'Calibración de recursos'!$A$37:$A$39,0),MATCH('Calibración de recursos'!E$43,'Calibración de recursos'!$B$36:$G$36,0))=1),1,0)</f>
        <v>1</v>
      </c>
      <c r="J15" s="61" t="n">
        <f aca="false">IF(AND(MATCH($C15,'Calibración de recursos'!$A$31:$A$33,0)&gt;='Calibración de recursos'!F$44,INDEX('Calibración de recursos'!$B$37:$G$39,MATCH($D15,'Calibración de recursos'!$A$37:$A$39,0),MATCH('Calibración de recursos'!F$43,'Calibración de recursos'!$B$36:$G$36,0))=1),1,0)</f>
        <v>0</v>
      </c>
      <c r="K15" s="61" t="n">
        <f aca="false">IF(AND(MATCH($C15,'Calibración de recursos'!$A$31:$A$33,0)&gt;='Calibración de recursos'!G$44,INDEX('Calibración de recursos'!$B$37:$G$39,MATCH($D15,'Calibración de recursos'!$A$37:$A$39,0),MATCH('Calibración de recursos'!G$43,'Calibración de recursos'!$B$36:$G$36,0))=1),1,0)</f>
        <v>0</v>
      </c>
      <c r="L15" s="61" t="n">
        <f aca="false">IF(AND(MATCH($C15,'Calibración de recursos'!$A$31:$A$33,0)&gt;='Calibración de recursos'!H$44,INDEX('Calibración de recursos'!$B$37:$G$39,MATCH($D15,'Calibración de recursos'!$A$37:$A$39,0),MATCH('Calibración de recursos'!H$43,'Calibración de recursos'!$B$36:$G$36,0))=1),1,0)</f>
        <v>0</v>
      </c>
      <c r="M15" s="61" t="n">
        <f aca="false">IF(AND(MATCH($C15,'Calibración de recursos'!$A$31:$A$33,0)&gt;='Calibración de recursos'!I$44,INDEX('Calibración de recursos'!$B$37:$G$39,MATCH($D15,'Calibración de recursos'!$A$37:$A$39,0),MATCH('Calibración de recursos'!I$43,'Calibración de recursos'!$B$36:$G$36,0))=1),1,0)</f>
        <v>0</v>
      </c>
      <c r="N15" s="61" t="n">
        <f aca="false">IF(AND(MATCH($C15,'Calibración de recursos'!$A$31:$A$33,0)&gt;='Calibración de recursos'!J$44,INDEX('Calibración de recursos'!$B$37:$G$39,MATCH($D15,'Calibración de recursos'!$A$37:$A$39,0),MATCH('Calibración de recursos'!J$43,'Calibración de recursos'!$B$36:$G$36,0))=1),1,0)</f>
        <v>0</v>
      </c>
      <c r="O15" s="61" t="n">
        <f aca="false">IF(AND(MATCH($C15,'Calibración de recursos'!$A$31:$A$33,0)&gt;='Calibración de recursos'!K$44,INDEX('Calibración de recursos'!$B$37:$G$39,MATCH($D15,'Calibración de recursos'!$A$37:$A$39,0),MATCH('Calibración de recursos'!K$43,'Calibración de recursos'!$B$36:$G$36,0))=1),1,0)</f>
        <v>0</v>
      </c>
      <c r="P15" s="61" t="n">
        <f aca="false">IF(AND(MATCH($C15,'Calibración de recursos'!$A$31:$A$33,0)&gt;='Calibración de recursos'!L$44,INDEX('Calibración de recursos'!$B$37:$G$39,MATCH($D15,'Calibración de recursos'!$A$37:$A$39,0),MATCH('Calibración de recursos'!L$43,'Calibración de recursos'!$B$36:$G$36,0))=1),1,0)</f>
        <v>0</v>
      </c>
      <c r="Q15" s="61" t="n">
        <f aca="false">IF(AND(MATCH($C15,'Calibración de recursos'!$A$31:$A$33,0)&gt;='Calibración de recursos'!M$44,INDEX('Calibración de recursos'!$B$37:$G$39,MATCH($D15,'Calibración de recursos'!$A$37:$A$39,0),MATCH('Calibración de recursos'!M$43,'Calibración de recursos'!$B$36:$G$36,0))=1),1,0)</f>
        <v>0</v>
      </c>
      <c r="R15" s="11" t="n">
        <f aca="false">SUM(F15:Q15)</f>
        <v>4</v>
      </c>
      <c r="S15" s="11" t="s">
        <v>869</v>
      </c>
    </row>
    <row r="16" customFormat="false" ht="23.85" hidden="false" customHeight="false" outlineLevel="0" collapsed="false">
      <c r="A16" s="11" t="s">
        <v>886</v>
      </c>
      <c r="B16" s="12" t="s">
        <v>885</v>
      </c>
      <c r="C16" s="46" t="s">
        <v>872</v>
      </c>
      <c r="D16" s="46" t="s">
        <v>878</v>
      </c>
      <c r="E16" s="53" t="n">
        <f aca="false">INDEX('Calibración de recursos'!$C$31:$C$33,MATCH(C16,'Calibración de recursos'!$A$31:$A$33,0))</f>
        <v>1</v>
      </c>
      <c r="F16" s="61" t="n">
        <f aca="false">IF(AND(MATCH($C16,'Calibración de recursos'!$A$31:$A$33,0)&gt;='Calibración de recursos'!B$44,INDEX('Calibración de recursos'!$B$37:$G$39,MATCH($D16,'Calibración de recursos'!$A$37:$A$39,0),MATCH('Calibración de recursos'!B$43,'Calibración de recursos'!$B$36:$G$36,0))=1),1,0)</f>
        <v>1</v>
      </c>
      <c r="G16" s="61" t="n">
        <f aca="false">IF(AND(MATCH($C16,'Calibración de recursos'!$A$31:$A$33,0)&gt;='Calibración de recursos'!C$44,INDEX('Calibración de recursos'!$B$37:$G$39,MATCH($D16,'Calibración de recursos'!$A$37:$A$39,0),MATCH('Calibración de recursos'!C$43,'Calibración de recursos'!$B$36:$G$36,0))=1),1,0)</f>
        <v>1</v>
      </c>
      <c r="H16" s="61" t="n">
        <f aca="false">IF(AND(MATCH($C16,'Calibración de recursos'!$A$31:$A$33,0)&gt;='Calibración de recursos'!D$44,INDEX('Calibración de recursos'!$B$37:$G$39,MATCH($D16,'Calibración de recursos'!$A$37:$A$39,0),MATCH('Calibración de recursos'!D$43,'Calibración de recursos'!$B$36:$G$36,0))=1),1,0)</f>
        <v>1</v>
      </c>
      <c r="I16" s="61" t="n">
        <f aca="false">IF(AND(MATCH($C16,'Calibración de recursos'!$A$31:$A$33,0)&gt;='Calibración de recursos'!E$44,INDEX('Calibración de recursos'!$B$37:$G$39,MATCH($D16,'Calibración de recursos'!$A$37:$A$39,0),MATCH('Calibración de recursos'!E$43,'Calibración de recursos'!$B$36:$G$36,0))=1),1,0)</f>
        <v>1</v>
      </c>
      <c r="J16" s="61" t="n">
        <f aca="false">IF(AND(MATCH($C16,'Calibración de recursos'!$A$31:$A$33,0)&gt;='Calibración de recursos'!F$44,INDEX('Calibración de recursos'!$B$37:$G$39,MATCH($D16,'Calibración de recursos'!$A$37:$A$39,0),MATCH('Calibración de recursos'!F$43,'Calibración de recursos'!$B$36:$G$36,0))=1),1,0)</f>
        <v>0</v>
      </c>
      <c r="K16" s="61" t="n">
        <f aca="false">IF(AND(MATCH($C16,'Calibración de recursos'!$A$31:$A$33,0)&gt;='Calibración de recursos'!G$44,INDEX('Calibración de recursos'!$B$37:$G$39,MATCH($D16,'Calibración de recursos'!$A$37:$A$39,0),MATCH('Calibración de recursos'!G$43,'Calibración de recursos'!$B$36:$G$36,0))=1),1,0)</f>
        <v>0</v>
      </c>
      <c r="L16" s="61" t="n">
        <f aca="false">IF(AND(MATCH($C16,'Calibración de recursos'!$A$31:$A$33,0)&gt;='Calibración de recursos'!H$44,INDEX('Calibración de recursos'!$B$37:$G$39,MATCH($D16,'Calibración de recursos'!$A$37:$A$39,0),MATCH('Calibración de recursos'!H$43,'Calibración de recursos'!$B$36:$G$36,0))=1),1,0)</f>
        <v>0</v>
      </c>
      <c r="M16" s="61" t="n">
        <f aca="false">IF(AND(MATCH($C16,'Calibración de recursos'!$A$31:$A$33,0)&gt;='Calibración de recursos'!I$44,INDEX('Calibración de recursos'!$B$37:$G$39,MATCH($D16,'Calibración de recursos'!$A$37:$A$39,0),MATCH('Calibración de recursos'!I$43,'Calibración de recursos'!$B$36:$G$36,0))=1),1,0)</f>
        <v>0</v>
      </c>
      <c r="N16" s="61" t="n">
        <f aca="false">IF(AND(MATCH($C16,'Calibración de recursos'!$A$31:$A$33,0)&gt;='Calibración de recursos'!J$44,INDEX('Calibración de recursos'!$B$37:$G$39,MATCH($D16,'Calibración de recursos'!$A$37:$A$39,0),MATCH('Calibración de recursos'!J$43,'Calibración de recursos'!$B$36:$G$36,0))=1),1,0)</f>
        <v>0</v>
      </c>
      <c r="O16" s="61" t="n">
        <f aca="false">IF(AND(MATCH($C16,'Calibración de recursos'!$A$31:$A$33,0)&gt;='Calibración de recursos'!K$44,INDEX('Calibración de recursos'!$B$37:$G$39,MATCH($D16,'Calibración de recursos'!$A$37:$A$39,0),MATCH('Calibración de recursos'!K$43,'Calibración de recursos'!$B$36:$G$36,0))=1),1,0)</f>
        <v>0</v>
      </c>
      <c r="P16" s="61" t="n">
        <f aca="false">IF(AND(MATCH($C16,'Calibración de recursos'!$A$31:$A$33,0)&gt;='Calibración de recursos'!L$44,INDEX('Calibración de recursos'!$B$37:$G$39,MATCH($D16,'Calibración de recursos'!$A$37:$A$39,0),MATCH('Calibración de recursos'!L$43,'Calibración de recursos'!$B$36:$G$36,0))=1),1,0)</f>
        <v>0</v>
      </c>
      <c r="Q16" s="61" t="n">
        <f aca="false">IF(AND(MATCH($C16,'Calibración de recursos'!$A$31:$A$33,0)&gt;='Calibración de recursos'!M$44,INDEX('Calibración de recursos'!$B$37:$G$39,MATCH($D16,'Calibración de recursos'!$A$37:$A$39,0),MATCH('Calibración de recursos'!M$43,'Calibración de recursos'!$B$36:$G$36,0))=1),1,0)</f>
        <v>0</v>
      </c>
      <c r="R16" s="11" t="n">
        <f aca="false">SUM(F16:Q16)</f>
        <v>4</v>
      </c>
      <c r="S16" s="11" t="s">
        <v>869</v>
      </c>
    </row>
    <row r="17" customFormat="false" ht="23.85" hidden="false" customHeight="false" outlineLevel="0" collapsed="false">
      <c r="A17" s="11" t="s">
        <v>887</v>
      </c>
      <c r="B17" s="12" t="s">
        <v>885</v>
      </c>
      <c r="C17" s="46" t="s">
        <v>872</v>
      </c>
      <c r="D17" s="46" t="s">
        <v>878</v>
      </c>
      <c r="E17" s="53" t="n">
        <f aca="false">INDEX('Calibración de recursos'!$C$31:$C$33,MATCH(C17,'Calibración de recursos'!$A$31:$A$33,0))</f>
        <v>1</v>
      </c>
      <c r="F17" s="61" t="n">
        <f aca="false">IF(AND(MATCH($C17,'Calibración de recursos'!$A$31:$A$33,0)&gt;='Calibración de recursos'!B$44,INDEX('Calibración de recursos'!$B$37:$G$39,MATCH($D17,'Calibración de recursos'!$A$37:$A$39,0),MATCH('Calibración de recursos'!B$43,'Calibración de recursos'!$B$36:$G$36,0))=1),1,0)</f>
        <v>1</v>
      </c>
      <c r="G17" s="61" t="n">
        <f aca="false">IF(AND(MATCH($C17,'Calibración de recursos'!$A$31:$A$33,0)&gt;='Calibración de recursos'!C$44,INDEX('Calibración de recursos'!$B$37:$G$39,MATCH($D17,'Calibración de recursos'!$A$37:$A$39,0),MATCH('Calibración de recursos'!C$43,'Calibración de recursos'!$B$36:$G$36,0))=1),1,0)</f>
        <v>1</v>
      </c>
      <c r="H17" s="61" t="n">
        <f aca="false">IF(AND(MATCH($C17,'Calibración de recursos'!$A$31:$A$33,0)&gt;='Calibración de recursos'!D$44,INDEX('Calibración de recursos'!$B$37:$G$39,MATCH($D17,'Calibración de recursos'!$A$37:$A$39,0),MATCH('Calibración de recursos'!D$43,'Calibración de recursos'!$B$36:$G$36,0))=1),1,0)</f>
        <v>1</v>
      </c>
      <c r="I17" s="61" t="n">
        <f aca="false">IF(AND(MATCH($C17,'Calibración de recursos'!$A$31:$A$33,0)&gt;='Calibración de recursos'!E$44,INDEX('Calibración de recursos'!$B$37:$G$39,MATCH($D17,'Calibración de recursos'!$A$37:$A$39,0),MATCH('Calibración de recursos'!E$43,'Calibración de recursos'!$B$36:$G$36,0))=1),1,0)</f>
        <v>1</v>
      </c>
      <c r="J17" s="61" t="n">
        <f aca="false">IF(AND(MATCH($C17,'Calibración de recursos'!$A$31:$A$33,0)&gt;='Calibración de recursos'!F$44,INDEX('Calibración de recursos'!$B$37:$G$39,MATCH($D17,'Calibración de recursos'!$A$37:$A$39,0),MATCH('Calibración de recursos'!F$43,'Calibración de recursos'!$B$36:$G$36,0))=1),1,0)</f>
        <v>0</v>
      </c>
      <c r="K17" s="61" t="n">
        <f aca="false">IF(AND(MATCH($C17,'Calibración de recursos'!$A$31:$A$33,0)&gt;='Calibración de recursos'!G$44,INDEX('Calibración de recursos'!$B$37:$G$39,MATCH($D17,'Calibración de recursos'!$A$37:$A$39,0),MATCH('Calibración de recursos'!G$43,'Calibración de recursos'!$B$36:$G$36,0))=1),1,0)</f>
        <v>0</v>
      </c>
      <c r="L17" s="61" t="n">
        <f aca="false">IF(AND(MATCH($C17,'Calibración de recursos'!$A$31:$A$33,0)&gt;='Calibración de recursos'!H$44,INDEX('Calibración de recursos'!$B$37:$G$39,MATCH($D17,'Calibración de recursos'!$A$37:$A$39,0),MATCH('Calibración de recursos'!H$43,'Calibración de recursos'!$B$36:$G$36,0))=1),1,0)</f>
        <v>0</v>
      </c>
      <c r="M17" s="61" t="n">
        <f aca="false">IF(AND(MATCH($C17,'Calibración de recursos'!$A$31:$A$33,0)&gt;='Calibración de recursos'!I$44,INDEX('Calibración de recursos'!$B$37:$G$39,MATCH($D17,'Calibración de recursos'!$A$37:$A$39,0),MATCH('Calibración de recursos'!I$43,'Calibración de recursos'!$B$36:$G$36,0))=1),1,0)</f>
        <v>0</v>
      </c>
      <c r="N17" s="61" t="n">
        <f aca="false">IF(AND(MATCH($C17,'Calibración de recursos'!$A$31:$A$33,0)&gt;='Calibración de recursos'!J$44,INDEX('Calibración de recursos'!$B$37:$G$39,MATCH($D17,'Calibración de recursos'!$A$37:$A$39,0),MATCH('Calibración de recursos'!J$43,'Calibración de recursos'!$B$36:$G$36,0))=1),1,0)</f>
        <v>0</v>
      </c>
      <c r="O17" s="61" t="n">
        <f aca="false">IF(AND(MATCH($C17,'Calibración de recursos'!$A$31:$A$33,0)&gt;='Calibración de recursos'!K$44,INDEX('Calibración de recursos'!$B$37:$G$39,MATCH($D17,'Calibración de recursos'!$A$37:$A$39,0),MATCH('Calibración de recursos'!K$43,'Calibración de recursos'!$B$36:$G$36,0))=1),1,0)</f>
        <v>0</v>
      </c>
      <c r="P17" s="61" t="n">
        <f aca="false">IF(AND(MATCH($C17,'Calibración de recursos'!$A$31:$A$33,0)&gt;='Calibración de recursos'!L$44,INDEX('Calibración de recursos'!$B$37:$G$39,MATCH($D17,'Calibración de recursos'!$A$37:$A$39,0),MATCH('Calibración de recursos'!L$43,'Calibración de recursos'!$B$36:$G$36,0))=1),1,0)</f>
        <v>0</v>
      </c>
      <c r="Q17" s="61" t="n">
        <f aca="false">IF(AND(MATCH($C17,'Calibración de recursos'!$A$31:$A$33,0)&gt;='Calibración de recursos'!M$44,INDEX('Calibración de recursos'!$B$37:$G$39,MATCH($D17,'Calibración de recursos'!$A$37:$A$39,0),MATCH('Calibración de recursos'!M$43,'Calibración de recursos'!$B$36:$G$36,0))=1),1,0)</f>
        <v>0</v>
      </c>
      <c r="R17" s="11" t="n">
        <f aca="false">SUM(F17:Q17)</f>
        <v>4</v>
      </c>
      <c r="S17" s="11" t="s">
        <v>869</v>
      </c>
    </row>
    <row r="18" customFormat="false" ht="23.85" hidden="false" customHeight="false" outlineLevel="0" collapsed="false">
      <c r="A18" s="11" t="s">
        <v>888</v>
      </c>
      <c r="B18" s="12" t="s">
        <v>885</v>
      </c>
      <c r="C18" s="46" t="s">
        <v>883</v>
      </c>
      <c r="D18" s="46" t="s">
        <v>878</v>
      </c>
      <c r="E18" s="53" t="n">
        <f aca="false">INDEX('Calibración de recursos'!$C$31:$C$33,MATCH(C18,'Calibración de recursos'!$A$31:$A$33,0))</f>
        <v>1.15</v>
      </c>
      <c r="F18" s="61" t="n">
        <f aca="false">IF(AND(MATCH($C18,'Calibración de recursos'!$A$31:$A$33,0)&gt;='Calibración de recursos'!B$44,INDEX('Calibración de recursos'!$B$37:$G$39,MATCH($D18,'Calibración de recursos'!$A$37:$A$39,0),MATCH('Calibración de recursos'!B$43,'Calibración de recursos'!$B$36:$G$36,0))=1),1,0)</f>
        <v>1</v>
      </c>
      <c r="G18" s="61" t="n">
        <f aca="false">IF(AND(MATCH($C18,'Calibración de recursos'!$A$31:$A$33,0)&gt;='Calibración de recursos'!C$44,INDEX('Calibración de recursos'!$B$37:$G$39,MATCH($D18,'Calibración de recursos'!$A$37:$A$39,0),MATCH('Calibración de recursos'!C$43,'Calibración de recursos'!$B$36:$G$36,0))=1),1,0)</f>
        <v>0</v>
      </c>
      <c r="H18" s="61" t="n">
        <f aca="false">IF(AND(MATCH($C18,'Calibración de recursos'!$A$31:$A$33,0)&gt;='Calibración de recursos'!D$44,INDEX('Calibración de recursos'!$B$37:$G$39,MATCH($D18,'Calibración de recursos'!$A$37:$A$39,0),MATCH('Calibración de recursos'!D$43,'Calibración de recursos'!$B$36:$G$36,0))=1),1,0)</f>
        <v>1</v>
      </c>
      <c r="I18" s="61" t="n">
        <f aca="false">IF(AND(MATCH($C18,'Calibración de recursos'!$A$31:$A$33,0)&gt;='Calibración de recursos'!E$44,INDEX('Calibración de recursos'!$B$37:$G$39,MATCH($D18,'Calibración de recursos'!$A$37:$A$39,0),MATCH('Calibración de recursos'!E$43,'Calibración de recursos'!$B$36:$G$36,0))=1),1,0)</f>
        <v>0</v>
      </c>
      <c r="J18" s="61" t="n">
        <f aca="false">IF(AND(MATCH($C18,'Calibración de recursos'!$A$31:$A$33,0)&gt;='Calibración de recursos'!F$44,INDEX('Calibración de recursos'!$B$37:$G$39,MATCH($D18,'Calibración de recursos'!$A$37:$A$39,0),MATCH('Calibración de recursos'!F$43,'Calibración de recursos'!$B$36:$G$36,0))=1),1,0)</f>
        <v>0</v>
      </c>
      <c r="K18" s="61" t="n">
        <f aca="false">IF(AND(MATCH($C18,'Calibración de recursos'!$A$31:$A$33,0)&gt;='Calibración de recursos'!G$44,INDEX('Calibración de recursos'!$B$37:$G$39,MATCH($D18,'Calibración de recursos'!$A$37:$A$39,0),MATCH('Calibración de recursos'!G$43,'Calibración de recursos'!$B$36:$G$36,0))=1),1,0)</f>
        <v>0</v>
      </c>
      <c r="L18" s="61" t="n">
        <f aca="false">IF(AND(MATCH($C18,'Calibración de recursos'!$A$31:$A$33,0)&gt;='Calibración de recursos'!H$44,INDEX('Calibración de recursos'!$B$37:$G$39,MATCH($D18,'Calibración de recursos'!$A$37:$A$39,0),MATCH('Calibración de recursos'!H$43,'Calibración de recursos'!$B$36:$G$36,0))=1),1,0)</f>
        <v>0</v>
      </c>
      <c r="M18" s="61" t="n">
        <f aca="false">IF(AND(MATCH($C18,'Calibración de recursos'!$A$31:$A$33,0)&gt;='Calibración de recursos'!I$44,INDEX('Calibración de recursos'!$B$37:$G$39,MATCH($D18,'Calibración de recursos'!$A$37:$A$39,0),MATCH('Calibración de recursos'!I$43,'Calibración de recursos'!$B$36:$G$36,0))=1),1,0)</f>
        <v>0</v>
      </c>
      <c r="N18" s="61" t="n">
        <f aca="false">IF(AND(MATCH($C18,'Calibración de recursos'!$A$31:$A$33,0)&gt;='Calibración de recursos'!J$44,INDEX('Calibración de recursos'!$B$37:$G$39,MATCH($D18,'Calibración de recursos'!$A$37:$A$39,0),MATCH('Calibración de recursos'!J$43,'Calibración de recursos'!$B$36:$G$36,0))=1),1,0)</f>
        <v>0</v>
      </c>
      <c r="O18" s="61" t="n">
        <f aca="false">IF(AND(MATCH($C18,'Calibración de recursos'!$A$31:$A$33,0)&gt;='Calibración de recursos'!K$44,INDEX('Calibración de recursos'!$B$37:$G$39,MATCH($D18,'Calibración de recursos'!$A$37:$A$39,0),MATCH('Calibración de recursos'!K$43,'Calibración de recursos'!$B$36:$G$36,0))=1),1,0)</f>
        <v>0</v>
      </c>
      <c r="P18" s="61" t="n">
        <f aca="false">IF(AND(MATCH($C18,'Calibración de recursos'!$A$31:$A$33,0)&gt;='Calibración de recursos'!L$44,INDEX('Calibración de recursos'!$B$37:$G$39,MATCH($D18,'Calibración de recursos'!$A$37:$A$39,0),MATCH('Calibración de recursos'!L$43,'Calibración de recursos'!$B$36:$G$36,0))=1),1,0)</f>
        <v>0</v>
      </c>
      <c r="Q18" s="61" t="n">
        <f aca="false">IF(AND(MATCH($C18,'Calibración de recursos'!$A$31:$A$33,0)&gt;='Calibración de recursos'!M$44,INDEX('Calibración de recursos'!$B$37:$G$39,MATCH($D18,'Calibración de recursos'!$A$37:$A$39,0),MATCH('Calibración de recursos'!M$43,'Calibración de recursos'!$B$36:$G$36,0))=1),1,0)</f>
        <v>0</v>
      </c>
      <c r="R18" s="11" t="n">
        <f aca="false">SUM(F18:Q18)</f>
        <v>2</v>
      </c>
      <c r="S18" s="11" t="s">
        <v>869</v>
      </c>
    </row>
    <row r="19" customFormat="false" ht="23.85" hidden="false" customHeight="false" outlineLevel="0" collapsed="false">
      <c r="A19" s="11" t="s">
        <v>889</v>
      </c>
      <c r="B19" s="12" t="s">
        <v>885</v>
      </c>
      <c r="C19" s="46" t="s">
        <v>883</v>
      </c>
      <c r="D19" s="46" t="s">
        <v>878</v>
      </c>
      <c r="E19" s="53" t="n">
        <f aca="false">INDEX('Calibración de recursos'!$C$31:$C$33,MATCH(C19,'Calibración de recursos'!$A$31:$A$33,0))</f>
        <v>1.15</v>
      </c>
      <c r="F19" s="61" t="n">
        <f aca="false">IF(AND(MATCH($C19,'Calibración de recursos'!$A$31:$A$33,0)&gt;='Calibración de recursos'!B$44,INDEX('Calibración de recursos'!$B$37:$G$39,MATCH($D19,'Calibración de recursos'!$A$37:$A$39,0),MATCH('Calibración de recursos'!B$43,'Calibración de recursos'!$B$36:$G$36,0))=1),1,0)</f>
        <v>1</v>
      </c>
      <c r="G19" s="61" t="n">
        <f aca="false">IF(AND(MATCH($C19,'Calibración de recursos'!$A$31:$A$33,0)&gt;='Calibración de recursos'!C$44,INDEX('Calibración de recursos'!$B$37:$G$39,MATCH($D19,'Calibración de recursos'!$A$37:$A$39,0),MATCH('Calibración de recursos'!C$43,'Calibración de recursos'!$B$36:$G$36,0))=1),1,0)</f>
        <v>0</v>
      </c>
      <c r="H19" s="61" t="n">
        <f aca="false">IF(AND(MATCH($C19,'Calibración de recursos'!$A$31:$A$33,0)&gt;='Calibración de recursos'!D$44,INDEX('Calibración de recursos'!$B$37:$G$39,MATCH($D19,'Calibración de recursos'!$A$37:$A$39,0),MATCH('Calibración de recursos'!D$43,'Calibración de recursos'!$B$36:$G$36,0))=1),1,0)</f>
        <v>1</v>
      </c>
      <c r="I19" s="61" t="n">
        <f aca="false">IF(AND(MATCH($C19,'Calibración de recursos'!$A$31:$A$33,0)&gt;='Calibración de recursos'!E$44,INDEX('Calibración de recursos'!$B$37:$G$39,MATCH($D19,'Calibración de recursos'!$A$37:$A$39,0),MATCH('Calibración de recursos'!E$43,'Calibración de recursos'!$B$36:$G$36,0))=1),1,0)</f>
        <v>0</v>
      </c>
      <c r="J19" s="61" t="n">
        <f aca="false">IF(AND(MATCH($C19,'Calibración de recursos'!$A$31:$A$33,0)&gt;='Calibración de recursos'!F$44,INDEX('Calibración de recursos'!$B$37:$G$39,MATCH($D19,'Calibración de recursos'!$A$37:$A$39,0),MATCH('Calibración de recursos'!F$43,'Calibración de recursos'!$B$36:$G$36,0))=1),1,0)</f>
        <v>0</v>
      </c>
      <c r="K19" s="61" t="n">
        <f aca="false">IF(AND(MATCH($C19,'Calibración de recursos'!$A$31:$A$33,0)&gt;='Calibración de recursos'!G$44,INDEX('Calibración de recursos'!$B$37:$G$39,MATCH($D19,'Calibración de recursos'!$A$37:$A$39,0),MATCH('Calibración de recursos'!G$43,'Calibración de recursos'!$B$36:$G$36,0))=1),1,0)</f>
        <v>0</v>
      </c>
      <c r="L19" s="61" t="n">
        <f aca="false">IF(AND(MATCH($C19,'Calibración de recursos'!$A$31:$A$33,0)&gt;='Calibración de recursos'!H$44,INDEX('Calibración de recursos'!$B$37:$G$39,MATCH($D19,'Calibración de recursos'!$A$37:$A$39,0),MATCH('Calibración de recursos'!H$43,'Calibración de recursos'!$B$36:$G$36,0))=1),1,0)</f>
        <v>0</v>
      </c>
      <c r="M19" s="61" t="n">
        <f aca="false">IF(AND(MATCH($C19,'Calibración de recursos'!$A$31:$A$33,0)&gt;='Calibración de recursos'!I$44,INDEX('Calibración de recursos'!$B$37:$G$39,MATCH($D19,'Calibración de recursos'!$A$37:$A$39,0),MATCH('Calibración de recursos'!I$43,'Calibración de recursos'!$B$36:$G$36,0))=1),1,0)</f>
        <v>0</v>
      </c>
      <c r="N19" s="61" t="n">
        <f aca="false">IF(AND(MATCH($C19,'Calibración de recursos'!$A$31:$A$33,0)&gt;='Calibración de recursos'!J$44,INDEX('Calibración de recursos'!$B$37:$G$39,MATCH($D19,'Calibración de recursos'!$A$37:$A$39,0),MATCH('Calibración de recursos'!J$43,'Calibración de recursos'!$B$36:$G$36,0))=1),1,0)</f>
        <v>0</v>
      </c>
      <c r="O19" s="61" t="n">
        <f aca="false">IF(AND(MATCH($C19,'Calibración de recursos'!$A$31:$A$33,0)&gt;='Calibración de recursos'!K$44,INDEX('Calibración de recursos'!$B$37:$G$39,MATCH($D19,'Calibración de recursos'!$A$37:$A$39,0),MATCH('Calibración de recursos'!K$43,'Calibración de recursos'!$B$36:$G$36,0))=1),1,0)</f>
        <v>0</v>
      </c>
      <c r="P19" s="61" t="n">
        <f aca="false">IF(AND(MATCH($C19,'Calibración de recursos'!$A$31:$A$33,0)&gt;='Calibración de recursos'!L$44,INDEX('Calibración de recursos'!$B$37:$G$39,MATCH($D19,'Calibración de recursos'!$A$37:$A$39,0),MATCH('Calibración de recursos'!L$43,'Calibración de recursos'!$B$36:$G$36,0))=1),1,0)</f>
        <v>0</v>
      </c>
      <c r="Q19" s="61" t="n">
        <f aca="false">IF(AND(MATCH($C19,'Calibración de recursos'!$A$31:$A$33,0)&gt;='Calibración de recursos'!M$44,INDEX('Calibración de recursos'!$B$37:$G$39,MATCH($D19,'Calibración de recursos'!$A$37:$A$39,0),MATCH('Calibración de recursos'!M$43,'Calibración de recursos'!$B$36:$G$36,0))=1),1,0)</f>
        <v>0</v>
      </c>
      <c r="R19" s="11" t="n">
        <f aca="false">SUM(F19:Q19)</f>
        <v>2</v>
      </c>
      <c r="S19" s="11" t="s">
        <v>869</v>
      </c>
    </row>
    <row r="20" customFormat="false" ht="23.85" hidden="false" customHeight="false" outlineLevel="0" collapsed="false">
      <c r="A20" s="11" t="s">
        <v>890</v>
      </c>
      <c r="B20" s="12" t="s">
        <v>885</v>
      </c>
      <c r="C20" s="46" t="s">
        <v>883</v>
      </c>
      <c r="D20" s="46" t="s">
        <v>878</v>
      </c>
      <c r="E20" s="53" t="n">
        <f aca="false">INDEX('Calibración de recursos'!$C$31:$C$33,MATCH(C20,'Calibración de recursos'!$A$31:$A$33,0))</f>
        <v>1.15</v>
      </c>
      <c r="F20" s="61" t="n">
        <f aca="false">IF(AND(MATCH($C20,'Calibración de recursos'!$A$31:$A$33,0)&gt;='Calibración de recursos'!B$44,INDEX('Calibración de recursos'!$B$37:$G$39,MATCH($D20,'Calibración de recursos'!$A$37:$A$39,0),MATCH('Calibración de recursos'!B$43,'Calibración de recursos'!$B$36:$G$36,0))=1),1,0)</f>
        <v>1</v>
      </c>
      <c r="G20" s="61" t="n">
        <f aca="false">IF(AND(MATCH($C20,'Calibración de recursos'!$A$31:$A$33,0)&gt;='Calibración de recursos'!C$44,INDEX('Calibración de recursos'!$B$37:$G$39,MATCH($D20,'Calibración de recursos'!$A$37:$A$39,0),MATCH('Calibración de recursos'!C$43,'Calibración de recursos'!$B$36:$G$36,0))=1),1,0)</f>
        <v>0</v>
      </c>
      <c r="H20" s="61" t="n">
        <f aca="false">IF(AND(MATCH($C20,'Calibración de recursos'!$A$31:$A$33,0)&gt;='Calibración de recursos'!D$44,INDEX('Calibración de recursos'!$B$37:$G$39,MATCH($D20,'Calibración de recursos'!$A$37:$A$39,0),MATCH('Calibración de recursos'!D$43,'Calibración de recursos'!$B$36:$G$36,0))=1),1,0)</f>
        <v>1</v>
      </c>
      <c r="I20" s="61" t="n">
        <f aca="false">IF(AND(MATCH($C20,'Calibración de recursos'!$A$31:$A$33,0)&gt;='Calibración de recursos'!E$44,INDEX('Calibración de recursos'!$B$37:$G$39,MATCH($D20,'Calibración de recursos'!$A$37:$A$39,0),MATCH('Calibración de recursos'!E$43,'Calibración de recursos'!$B$36:$G$36,0))=1),1,0)</f>
        <v>0</v>
      </c>
      <c r="J20" s="61" t="n">
        <f aca="false">IF(AND(MATCH($C20,'Calibración de recursos'!$A$31:$A$33,0)&gt;='Calibración de recursos'!F$44,INDEX('Calibración de recursos'!$B$37:$G$39,MATCH($D20,'Calibración de recursos'!$A$37:$A$39,0),MATCH('Calibración de recursos'!F$43,'Calibración de recursos'!$B$36:$G$36,0))=1),1,0)</f>
        <v>0</v>
      </c>
      <c r="K20" s="61" t="n">
        <f aca="false">IF(AND(MATCH($C20,'Calibración de recursos'!$A$31:$A$33,0)&gt;='Calibración de recursos'!G$44,INDEX('Calibración de recursos'!$B$37:$G$39,MATCH($D20,'Calibración de recursos'!$A$37:$A$39,0),MATCH('Calibración de recursos'!G$43,'Calibración de recursos'!$B$36:$G$36,0))=1),1,0)</f>
        <v>0</v>
      </c>
      <c r="L20" s="61" t="n">
        <f aca="false">IF(AND(MATCH($C20,'Calibración de recursos'!$A$31:$A$33,0)&gt;='Calibración de recursos'!H$44,INDEX('Calibración de recursos'!$B$37:$G$39,MATCH($D20,'Calibración de recursos'!$A$37:$A$39,0),MATCH('Calibración de recursos'!H$43,'Calibración de recursos'!$B$36:$G$36,0))=1),1,0)</f>
        <v>0</v>
      </c>
      <c r="M20" s="61" t="n">
        <f aca="false">IF(AND(MATCH($C20,'Calibración de recursos'!$A$31:$A$33,0)&gt;='Calibración de recursos'!I$44,INDEX('Calibración de recursos'!$B$37:$G$39,MATCH($D20,'Calibración de recursos'!$A$37:$A$39,0),MATCH('Calibración de recursos'!I$43,'Calibración de recursos'!$B$36:$G$36,0))=1),1,0)</f>
        <v>0</v>
      </c>
      <c r="N20" s="61" t="n">
        <f aca="false">IF(AND(MATCH($C20,'Calibración de recursos'!$A$31:$A$33,0)&gt;='Calibración de recursos'!J$44,INDEX('Calibración de recursos'!$B$37:$G$39,MATCH($D20,'Calibración de recursos'!$A$37:$A$39,0),MATCH('Calibración de recursos'!J$43,'Calibración de recursos'!$B$36:$G$36,0))=1),1,0)</f>
        <v>0</v>
      </c>
      <c r="O20" s="61" t="n">
        <f aca="false">IF(AND(MATCH($C20,'Calibración de recursos'!$A$31:$A$33,0)&gt;='Calibración de recursos'!K$44,INDEX('Calibración de recursos'!$B$37:$G$39,MATCH($D20,'Calibración de recursos'!$A$37:$A$39,0),MATCH('Calibración de recursos'!K$43,'Calibración de recursos'!$B$36:$G$36,0))=1),1,0)</f>
        <v>0</v>
      </c>
      <c r="P20" s="61" t="n">
        <f aca="false">IF(AND(MATCH($C20,'Calibración de recursos'!$A$31:$A$33,0)&gt;='Calibración de recursos'!L$44,INDEX('Calibración de recursos'!$B$37:$G$39,MATCH($D20,'Calibración de recursos'!$A$37:$A$39,0),MATCH('Calibración de recursos'!L$43,'Calibración de recursos'!$B$36:$G$36,0))=1),1,0)</f>
        <v>0</v>
      </c>
      <c r="Q20" s="61" t="n">
        <f aca="false">IF(AND(MATCH($C20,'Calibración de recursos'!$A$31:$A$33,0)&gt;='Calibración de recursos'!M$44,INDEX('Calibración de recursos'!$B$37:$G$39,MATCH($D20,'Calibración de recursos'!$A$37:$A$39,0),MATCH('Calibración de recursos'!M$43,'Calibración de recursos'!$B$36:$G$36,0))=1),1,0)</f>
        <v>0</v>
      </c>
      <c r="R20" s="11" t="n">
        <f aca="false">SUM(F20:Q20)</f>
        <v>2</v>
      </c>
      <c r="S20" s="11" t="s">
        <v>869</v>
      </c>
    </row>
    <row r="21" customFormat="false" ht="23.85" hidden="false" customHeight="false" outlineLevel="0" collapsed="false">
      <c r="A21" s="11" t="s">
        <v>891</v>
      </c>
      <c r="B21" s="12" t="s">
        <v>885</v>
      </c>
      <c r="C21" s="46" t="s">
        <v>867</v>
      </c>
      <c r="D21" s="46" t="s">
        <v>881</v>
      </c>
      <c r="E21" s="53" t="n">
        <f aca="false">INDEX('Calibración de recursos'!$C$31:$C$33,MATCH(C21,'Calibración de recursos'!$A$31:$A$33,0))</f>
        <v>0.9</v>
      </c>
      <c r="F21" s="61" t="n">
        <f aca="false">IF(AND(MATCH($C21,'Calibración de recursos'!$A$31:$A$33,0)&gt;='Calibración de recursos'!B$44,INDEX('Calibración de recursos'!$B$37:$G$39,MATCH($D21,'Calibración de recursos'!$A$37:$A$39,0),MATCH('Calibración de recursos'!B$43,'Calibración de recursos'!$B$36:$G$36,0))=1),1,0)</f>
        <v>0</v>
      </c>
      <c r="G21" s="61" t="n">
        <f aca="false">IF(AND(MATCH($C21,'Calibración de recursos'!$A$31:$A$33,0)&gt;='Calibración de recursos'!C$44,INDEX('Calibración de recursos'!$B$37:$G$39,MATCH($D21,'Calibración de recursos'!$A$37:$A$39,0),MATCH('Calibración de recursos'!C$43,'Calibración de recursos'!$B$36:$G$36,0))=1),1,0)</f>
        <v>0</v>
      </c>
      <c r="H21" s="61" t="n">
        <f aca="false">IF(AND(MATCH($C21,'Calibración de recursos'!$A$31:$A$33,0)&gt;='Calibración de recursos'!D$44,INDEX('Calibración de recursos'!$B$37:$G$39,MATCH($D21,'Calibración de recursos'!$A$37:$A$39,0),MATCH('Calibración de recursos'!D$43,'Calibración de recursos'!$B$36:$G$36,0))=1),1,0)</f>
        <v>0</v>
      </c>
      <c r="I21" s="61" t="n">
        <f aca="false">IF(AND(MATCH($C21,'Calibración de recursos'!$A$31:$A$33,0)&gt;='Calibración de recursos'!E$44,INDEX('Calibración de recursos'!$B$37:$G$39,MATCH($D21,'Calibración de recursos'!$A$37:$A$39,0),MATCH('Calibración de recursos'!E$43,'Calibración de recursos'!$B$36:$G$36,0))=1),1,0)</f>
        <v>0</v>
      </c>
      <c r="J21" s="61" t="n">
        <f aca="false">IF(AND(MATCH($C21,'Calibración de recursos'!$A$31:$A$33,0)&gt;='Calibración de recursos'!F$44,INDEX('Calibración de recursos'!$B$37:$G$39,MATCH($D21,'Calibración de recursos'!$A$37:$A$39,0),MATCH('Calibración de recursos'!F$43,'Calibración de recursos'!$B$36:$G$36,0))=1),1,0)</f>
        <v>1</v>
      </c>
      <c r="K21" s="61" t="n">
        <f aca="false">IF(AND(MATCH($C21,'Calibración de recursos'!$A$31:$A$33,0)&gt;='Calibración de recursos'!G$44,INDEX('Calibración de recursos'!$B$37:$G$39,MATCH($D21,'Calibración de recursos'!$A$37:$A$39,0),MATCH('Calibración de recursos'!G$43,'Calibración de recursos'!$B$36:$G$36,0))=1),1,0)</f>
        <v>1</v>
      </c>
      <c r="L21" s="61" t="n">
        <f aca="false">IF(AND(MATCH($C21,'Calibración de recursos'!$A$31:$A$33,0)&gt;='Calibración de recursos'!H$44,INDEX('Calibración de recursos'!$B$37:$G$39,MATCH($D21,'Calibración de recursos'!$A$37:$A$39,0),MATCH('Calibración de recursos'!H$43,'Calibración de recursos'!$B$36:$G$36,0))=1),1,0)</f>
        <v>1</v>
      </c>
      <c r="M21" s="61" t="n">
        <f aca="false">IF(AND(MATCH($C21,'Calibración de recursos'!$A$31:$A$33,0)&gt;='Calibración de recursos'!I$44,INDEX('Calibración de recursos'!$B$37:$G$39,MATCH($D21,'Calibración de recursos'!$A$37:$A$39,0),MATCH('Calibración de recursos'!I$43,'Calibración de recursos'!$B$36:$G$36,0))=1),1,0)</f>
        <v>1</v>
      </c>
      <c r="N21" s="61" t="n">
        <f aca="false">IF(AND(MATCH($C21,'Calibración de recursos'!$A$31:$A$33,0)&gt;='Calibración de recursos'!J$44,INDEX('Calibración de recursos'!$B$37:$G$39,MATCH($D21,'Calibración de recursos'!$A$37:$A$39,0),MATCH('Calibración de recursos'!J$43,'Calibración de recursos'!$B$36:$G$36,0))=1),1,0)</f>
        <v>1</v>
      </c>
      <c r="O21" s="61" t="n">
        <f aca="false">IF(AND(MATCH($C21,'Calibración de recursos'!$A$31:$A$33,0)&gt;='Calibración de recursos'!K$44,INDEX('Calibración de recursos'!$B$37:$G$39,MATCH($D21,'Calibración de recursos'!$A$37:$A$39,0),MATCH('Calibración de recursos'!K$43,'Calibración de recursos'!$B$36:$G$36,0))=1),1,0)</f>
        <v>1</v>
      </c>
      <c r="P21" s="61" t="n">
        <f aca="false">IF(AND(MATCH($C21,'Calibración de recursos'!$A$31:$A$33,0)&gt;='Calibración de recursos'!L$44,INDEX('Calibración de recursos'!$B$37:$G$39,MATCH($D21,'Calibración de recursos'!$A$37:$A$39,0),MATCH('Calibración de recursos'!L$43,'Calibración de recursos'!$B$36:$G$36,0))=1),1,0)</f>
        <v>1</v>
      </c>
      <c r="Q21" s="61" t="n">
        <f aca="false">IF(AND(MATCH($C21,'Calibración de recursos'!$A$31:$A$33,0)&gt;='Calibración de recursos'!M$44,INDEX('Calibración de recursos'!$B$37:$G$39,MATCH($D21,'Calibración de recursos'!$A$37:$A$39,0),MATCH('Calibración de recursos'!M$43,'Calibración de recursos'!$B$36:$G$36,0))=1),1,0)</f>
        <v>1</v>
      </c>
      <c r="R21" s="11" t="n">
        <f aca="false">SUM(F21:Q21)</f>
        <v>8</v>
      </c>
      <c r="S21" s="11" t="s">
        <v>869</v>
      </c>
    </row>
    <row r="22" customFormat="false" ht="23.85" hidden="false" customHeight="false" outlineLevel="0" collapsed="false">
      <c r="A22" s="11" t="s">
        <v>892</v>
      </c>
      <c r="B22" s="12" t="s">
        <v>885</v>
      </c>
      <c r="C22" s="46" t="s">
        <v>872</v>
      </c>
      <c r="D22" s="46" t="s">
        <v>881</v>
      </c>
      <c r="E22" s="53" t="n">
        <f aca="false">INDEX('Calibración de recursos'!$C$31:$C$33,MATCH(C22,'Calibración de recursos'!$A$31:$A$33,0))</f>
        <v>1</v>
      </c>
      <c r="F22" s="61" t="n">
        <f aca="false">IF(AND(MATCH($C22,'Calibración de recursos'!$A$31:$A$33,0)&gt;='Calibración de recursos'!B$44,INDEX('Calibración de recursos'!$B$37:$G$39,MATCH($D22,'Calibración de recursos'!$A$37:$A$39,0),MATCH('Calibración de recursos'!B$43,'Calibración de recursos'!$B$36:$G$36,0))=1),1,0)</f>
        <v>0</v>
      </c>
      <c r="G22" s="61" t="n">
        <f aca="false">IF(AND(MATCH($C22,'Calibración de recursos'!$A$31:$A$33,0)&gt;='Calibración de recursos'!C$44,INDEX('Calibración de recursos'!$B$37:$G$39,MATCH($D22,'Calibración de recursos'!$A$37:$A$39,0),MATCH('Calibración de recursos'!C$43,'Calibración de recursos'!$B$36:$G$36,0))=1),1,0)</f>
        <v>0</v>
      </c>
      <c r="H22" s="61" t="n">
        <f aca="false">IF(AND(MATCH($C22,'Calibración de recursos'!$A$31:$A$33,0)&gt;='Calibración de recursos'!D$44,INDEX('Calibración de recursos'!$B$37:$G$39,MATCH($D22,'Calibración de recursos'!$A$37:$A$39,0),MATCH('Calibración de recursos'!D$43,'Calibración de recursos'!$B$36:$G$36,0))=1),1,0)</f>
        <v>0</v>
      </c>
      <c r="I22" s="61" t="n">
        <f aca="false">IF(AND(MATCH($C22,'Calibración de recursos'!$A$31:$A$33,0)&gt;='Calibración de recursos'!E$44,INDEX('Calibración de recursos'!$B$37:$G$39,MATCH($D22,'Calibración de recursos'!$A$37:$A$39,0),MATCH('Calibración de recursos'!E$43,'Calibración de recursos'!$B$36:$G$36,0))=1),1,0)</f>
        <v>0</v>
      </c>
      <c r="J22" s="61" t="n">
        <f aca="false">IF(AND(MATCH($C22,'Calibración de recursos'!$A$31:$A$33,0)&gt;='Calibración de recursos'!F$44,INDEX('Calibración de recursos'!$B$37:$G$39,MATCH($D22,'Calibración de recursos'!$A$37:$A$39,0),MATCH('Calibración de recursos'!F$43,'Calibración de recursos'!$B$36:$G$36,0))=1),1,0)</f>
        <v>1</v>
      </c>
      <c r="K22" s="61" t="n">
        <f aca="false">IF(AND(MATCH($C22,'Calibración de recursos'!$A$31:$A$33,0)&gt;='Calibración de recursos'!G$44,INDEX('Calibración de recursos'!$B$37:$G$39,MATCH($D22,'Calibración de recursos'!$A$37:$A$39,0),MATCH('Calibración de recursos'!G$43,'Calibración de recursos'!$B$36:$G$36,0))=1),1,0)</f>
        <v>1</v>
      </c>
      <c r="L22" s="61" t="n">
        <f aca="false">IF(AND(MATCH($C22,'Calibración de recursos'!$A$31:$A$33,0)&gt;='Calibración de recursos'!H$44,INDEX('Calibración de recursos'!$B$37:$G$39,MATCH($D22,'Calibración de recursos'!$A$37:$A$39,0),MATCH('Calibración de recursos'!H$43,'Calibración de recursos'!$B$36:$G$36,0))=1),1,0)</f>
        <v>1</v>
      </c>
      <c r="M22" s="61" t="n">
        <f aca="false">IF(AND(MATCH($C22,'Calibración de recursos'!$A$31:$A$33,0)&gt;='Calibración de recursos'!I$44,INDEX('Calibración de recursos'!$B$37:$G$39,MATCH($D22,'Calibración de recursos'!$A$37:$A$39,0),MATCH('Calibración de recursos'!I$43,'Calibración de recursos'!$B$36:$G$36,0))=1),1,0)</f>
        <v>0</v>
      </c>
      <c r="N22" s="61" t="n">
        <f aca="false">IF(AND(MATCH($C22,'Calibración de recursos'!$A$31:$A$33,0)&gt;='Calibración de recursos'!J$44,INDEX('Calibración de recursos'!$B$37:$G$39,MATCH($D22,'Calibración de recursos'!$A$37:$A$39,0),MATCH('Calibración de recursos'!J$43,'Calibración de recursos'!$B$36:$G$36,0))=1),1,0)</f>
        <v>1</v>
      </c>
      <c r="O22" s="61" t="n">
        <f aca="false">IF(AND(MATCH($C22,'Calibración de recursos'!$A$31:$A$33,0)&gt;='Calibración de recursos'!K$44,INDEX('Calibración de recursos'!$B$37:$G$39,MATCH($D22,'Calibración de recursos'!$A$37:$A$39,0),MATCH('Calibración de recursos'!K$43,'Calibración de recursos'!$B$36:$G$36,0))=1),1,0)</f>
        <v>1</v>
      </c>
      <c r="P22" s="61" t="n">
        <f aca="false">IF(AND(MATCH($C22,'Calibración de recursos'!$A$31:$A$33,0)&gt;='Calibración de recursos'!L$44,INDEX('Calibración de recursos'!$B$37:$G$39,MATCH($D22,'Calibración de recursos'!$A$37:$A$39,0),MATCH('Calibración de recursos'!L$43,'Calibración de recursos'!$B$36:$G$36,0))=1),1,0)</f>
        <v>1</v>
      </c>
      <c r="Q22" s="61" t="n">
        <f aca="false">IF(AND(MATCH($C22,'Calibración de recursos'!$A$31:$A$33,0)&gt;='Calibración de recursos'!M$44,INDEX('Calibración de recursos'!$B$37:$G$39,MATCH($D22,'Calibración de recursos'!$A$37:$A$39,0),MATCH('Calibración de recursos'!M$43,'Calibración de recursos'!$B$36:$G$36,0))=1),1,0)</f>
        <v>0</v>
      </c>
      <c r="R22" s="11" t="n">
        <f aca="false">SUM(F22:Q22)</f>
        <v>6</v>
      </c>
      <c r="S22" s="11" t="s">
        <v>869</v>
      </c>
    </row>
    <row r="23" customFormat="false" ht="23.85" hidden="false" customHeight="false" outlineLevel="0" collapsed="false">
      <c r="A23" s="11" t="s">
        <v>893</v>
      </c>
      <c r="B23" s="12" t="s">
        <v>885</v>
      </c>
      <c r="C23" s="46" t="s">
        <v>883</v>
      </c>
      <c r="D23" s="46" t="s">
        <v>881</v>
      </c>
      <c r="E23" s="53" t="n">
        <f aca="false">INDEX('Calibración de recursos'!$C$31:$C$33,MATCH(C23,'Calibración de recursos'!$A$31:$A$33,0))</f>
        <v>1.15</v>
      </c>
      <c r="F23" s="61" t="n">
        <f aca="false">IF(AND(MATCH($C23,'Calibración de recursos'!$A$31:$A$33,0)&gt;='Calibración de recursos'!B$44,INDEX('Calibración de recursos'!$B$37:$G$39,MATCH($D23,'Calibración de recursos'!$A$37:$A$39,0),MATCH('Calibración de recursos'!B$43,'Calibración de recursos'!$B$36:$G$36,0))=1),1,0)</f>
        <v>0</v>
      </c>
      <c r="G23" s="61" t="n">
        <f aca="false">IF(AND(MATCH($C23,'Calibración de recursos'!$A$31:$A$33,0)&gt;='Calibración de recursos'!C$44,INDEX('Calibración de recursos'!$B$37:$G$39,MATCH($D23,'Calibración de recursos'!$A$37:$A$39,0),MATCH('Calibración de recursos'!C$43,'Calibración de recursos'!$B$36:$G$36,0))=1),1,0)</f>
        <v>0</v>
      </c>
      <c r="H23" s="61" t="n">
        <f aca="false">IF(AND(MATCH($C23,'Calibración de recursos'!$A$31:$A$33,0)&gt;='Calibración de recursos'!D$44,INDEX('Calibración de recursos'!$B$37:$G$39,MATCH($D23,'Calibración de recursos'!$A$37:$A$39,0),MATCH('Calibración de recursos'!D$43,'Calibración de recursos'!$B$36:$G$36,0))=1),1,0)</f>
        <v>0</v>
      </c>
      <c r="I23" s="61" t="n">
        <f aca="false">IF(AND(MATCH($C23,'Calibración de recursos'!$A$31:$A$33,0)&gt;='Calibración de recursos'!E$44,INDEX('Calibración de recursos'!$B$37:$G$39,MATCH($D23,'Calibración de recursos'!$A$37:$A$39,0),MATCH('Calibración de recursos'!E$43,'Calibración de recursos'!$B$36:$G$36,0))=1),1,0)</f>
        <v>0</v>
      </c>
      <c r="J23" s="61" t="n">
        <f aca="false">IF(AND(MATCH($C23,'Calibración de recursos'!$A$31:$A$33,0)&gt;='Calibración de recursos'!F$44,INDEX('Calibración de recursos'!$B$37:$G$39,MATCH($D23,'Calibración de recursos'!$A$37:$A$39,0),MATCH('Calibración de recursos'!F$43,'Calibración de recursos'!$B$36:$G$36,0))=1),1,0)</f>
        <v>1</v>
      </c>
      <c r="K23" s="61" t="n">
        <f aca="false">IF(AND(MATCH($C23,'Calibración de recursos'!$A$31:$A$33,0)&gt;='Calibración de recursos'!G$44,INDEX('Calibración de recursos'!$B$37:$G$39,MATCH($D23,'Calibración de recursos'!$A$37:$A$39,0),MATCH('Calibración de recursos'!G$43,'Calibración de recursos'!$B$36:$G$36,0))=1),1,0)</f>
        <v>0</v>
      </c>
      <c r="L23" s="61" t="n">
        <f aca="false">IF(AND(MATCH($C23,'Calibración de recursos'!$A$31:$A$33,0)&gt;='Calibración de recursos'!H$44,INDEX('Calibración de recursos'!$B$37:$G$39,MATCH($D23,'Calibración de recursos'!$A$37:$A$39,0),MATCH('Calibración de recursos'!H$43,'Calibración de recursos'!$B$36:$G$36,0))=1),1,0)</f>
        <v>0</v>
      </c>
      <c r="M23" s="61" t="n">
        <f aca="false">IF(AND(MATCH($C23,'Calibración de recursos'!$A$31:$A$33,0)&gt;='Calibración de recursos'!I$44,INDEX('Calibración de recursos'!$B$37:$G$39,MATCH($D23,'Calibración de recursos'!$A$37:$A$39,0),MATCH('Calibración de recursos'!I$43,'Calibración de recursos'!$B$36:$G$36,0))=1),1,0)</f>
        <v>0</v>
      </c>
      <c r="N23" s="61" t="n">
        <f aca="false">IF(AND(MATCH($C23,'Calibración de recursos'!$A$31:$A$33,0)&gt;='Calibración de recursos'!J$44,INDEX('Calibración de recursos'!$B$37:$G$39,MATCH($D23,'Calibración de recursos'!$A$37:$A$39,0),MATCH('Calibración de recursos'!J$43,'Calibración de recursos'!$B$36:$G$36,0))=1),1,0)</f>
        <v>1</v>
      </c>
      <c r="O23" s="61" t="n">
        <f aca="false">IF(AND(MATCH($C23,'Calibración de recursos'!$A$31:$A$33,0)&gt;='Calibración de recursos'!K$44,INDEX('Calibración de recursos'!$B$37:$G$39,MATCH($D23,'Calibración de recursos'!$A$37:$A$39,0),MATCH('Calibración de recursos'!K$43,'Calibración de recursos'!$B$36:$G$36,0))=1),1,0)</f>
        <v>0</v>
      </c>
      <c r="P23" s="61" t="n">
        <f aca="false">IF(AND(MATCH($C23,'Calibración de recursos'!$A$31:$A$33,0)&gt;='Calibración de recursos'!L$44,INDEX('Calibración de recursos'!$B$37:$G$39,MATCH($D23,'Calibración de recursos'!$A$37:$A$39,0),MATCH('Calibración de recursos'!L$43,'Calibración de recursos'!$B$36:$G$36,0))=1),1,0)</f>
        <v>0</v>
      </c>
      <c r="Q23" s="61" t="n">
        <f aca="false">IF(AND(MATCH($C23,'Calibración de recursos'!$A$31:$A$33,0)&gt;='Calibración de recursos'!M$44,INDEX('Calibración de recursos'!$B$37:$G$39,MATCH($D23,'Calibración de recursos'!$A$37:$A$39,0),MATCH('Calibración de recursos'!M$43,'Calibración de recursos'!$B$36:$G$36,0))=1),1,0)</f>
        <v>0</v>
      </c>
      <c r="R23" s="11" t="n">
        <f aca="false">SUM(F23:Q23)</f>
        <v>2</v>
      </c>
      <c r="S23" s="11" t="s">
        <v>869</v>
      </c>
    </row>
    <row r="24" customFormat="false" ht="23.85" hidden="false" customHeight="false" outlineLevel="0" collapsed="false">
      <c r="A24" s="11" t="s">
        <v>894</v>
      </c>
      <c r="B24" s="12" t="s">
        <v>885</v>
      </c>
      <c r="C24" s="46" t="s">
        <v>883</v>
      </c>
      <c r="D24" s="46" t="s">
        <v>881</v>
      </c>
      <c r="E24" s="53" t="n">
        <f aca="false">INDEX('Calibración de recursos'!$C$31:$C$33,MATCH(C24,'Calibración de recursos'!$A$31:$A$33,0))</f>
        <v>1.15</v>
      </c>
      <c r="F24" s="61" t="n">
        <f aca="false">IF(AND(MATCH($C24,'Calibración de recursos'!$A$31:$A$33,0)&gt;='Calibración de recursos'!B$44,INDEX('Calibración de recursos'!$B$37:$G$39,MATCH($D24,'Calibración de recursos'!$A$37:$A$39,0),MATCH('Calibración de recursos'!B$43,'Calibración de recursos'!$B$36:$G$36,0))=1),1,0)</f>
        <v>0</v>
      </c>
      <c r="G24" s="61" t="n">
        <f aca="false">IF(AND(MATCH($C24,'Calibración de recursos'!$A$31:$A$33,0)&gt;='Calibración de recursos'!C$44,INDEX('Calibración de recursos'!$B$37:$G$39,MATCH($D24,'Calibración de recursos'!$A$37:$A$39,0),MATCH('Calibración de recursos'!C$43,'Calibración de recursos'!$B$36:$G$36,0))=1),1,0)</f>
        <v>0</v>
      </c>
      <c r="H24" s="61" t="n">
        <f aca="false">IF(AND(MATCH($C24,'Calibración de recursos'!$A$31:$A$33,0)&gt;='Calibración de recursos'!D$44,INDEX('Calibración de recursos'!$B$37:$G$39,MATCH($D24,'Calibración de recursos'!$A$37:$A$39,0),MATCH('Calibración de recursos'!D$43,'Calibración de recursos'!$B$36:$G$36,0))=1),1,0)</f>
        <v>0</v>
      </c>
      <c r="I24" s="61" t="n">
        <f aca="false">IF(AND(MATCH($C24,'Calibración de recursos'!$A$31:$A$33,0)&gt;='Calibración de recursos'!E$44,INDEX('Calibración de recursos'!$B$37:$G$39,MATCH($D24,'Calibración de recursos'!$A$37:$A$39,0),MATCH('Calibración de recursos'!E$43,'Calibración de recursos'!$B$36:$G$36,0))=1),1,0)</f>
        <v>0</v>
      </c>
      <c r="J24" s="61" t="n">
        <f aca="false">IF(AND(MATCH($C24,'Calibración de recursos'!$A$31:$A$33,0)&gt;='Calibración de recursos'!F$44,INDEX('Calibración de recursos'!$B$37:$G$39,MATCH($D24,'Calibración de recursos'!$A$37:$A$39,0),MATCH('Calibración de recursos'!F$43,'Calibración de recursos'!$B$36:$G$36,0))=1),1,0)</f>
        <v>1</v>
      </c>
      <c r="K24" s="61" t="n">
        <f aca="false">IF(AND(MATCH($C24,'Calibración de recursos'!$A$31:$A$33,0)&gt;='Calibración de recursos'!G$44,INDEX('Calibración de recursos'!$B$37:$G$39,MATCH($D24,'Calibración de recursos'!$A$37:$A$39,0),MATCH('Calibración de recursos'!G$43,'Calibración de recursos'!$B$36:$G$36,0))=1),1,0)</f>
        <v>0</v>
      </c>
      <c r="L24" s="61" t="n">
        <f aca="false">IF(AND(MATCH($C24,'Calibración de recursos'!$A$31:$A$33,0)&gt;='Calibración de recursos'!H$44,INDEX('Calibración de recursos'!$B$37:$G$39,MATCH($D24,'Calibración de recursos'!$A$37:$A$39,0),MATCH('Calibración de recursos'!H$43,'Calibración de recursos'!$B$36:$G$36,0))=1),1,0)</f>
        <v>0</v>
      </c>
      <c r="M24" s="61" t="n">
        <f aca="false">IF(AND(MATCH($C24,'Calibración de recursos'!$A$31:$A$33,0)&gt;='Calibración de recursos'!I$44,INDEX('Calibración de recursos'!$B$37:$G$39,MATCH($D24,'Calibración de recursos'!$A$37:$A$39,0),MATCH('Calibración de recursos'!I$43,'Calibración de recursos'!$B$36:$G$36,0))=1),1,0)</f>
        <v>0</v>
      </c>
      <c r="N24" s="61" t="n">
        <f aca="false">IF(AND(MATCH($C24,'Calibración de recursos'!$A$31:$A$33,0)&gt;='Calibración de recursos'!J$44,INDEX('Calibración de recursos'!$B$37:$G$39,MATCH($D24,'Calibración de recursos'!$A$37:$A$39,0),MATCH('Calibración de recursos'!J$43,'Calibración de recursos'!$B$36:$G$36,0))=1),1,0)</f>
        <v>1</v>
      </c>
      <c r="O24" s="61" t="n">
        <f aca="false">IF(AND(MATCH($C24,'Calibración de recursos'!$A$31:$A$33,0)&gt;='Calibración de recursos'!K$44,INDEX('Calibración de recursos'!$B$37:$G$39,MATCH($D24,'Calibración de recursos'!$A$37:$A$39,0),MATCH('Calibración de recursos'!K$43,'Calibración de recursos'!$B$36:$G$36,0))=1),1,0)</f>
        <v>0</v>
      </c>
      <c r="P24" s="61" t="n">
        <f aca="false">IF(AND(MATCH($C24,'Calibración de recursos'!$A$31:$A$33,0)&gt;='Calibración de recursos'!L$44,INDEX('Calibración de recursos'!$B$37:$G$39,MATCH($D24,'Calibración de recursos'!$A$37:$A$39,0),MATCH('Calibración de recursos'!L$43,'Calibración de recursos'!$B$36:$G$36,0))=1),1,0)</f>
        <v>0</v>
      </c>
      <c r="Q24" s="61" t="n">
        <f aca="false">IF(AND(MATCH($C24,'Calibración de recursos'!$A$31:$A$33,0)&gt;='Calibración de recursos'!M$44,INDEX('Calibración de recursos'!$B$37:$G$39,MATCH($D24,'Calibración de recursos'!$A$37:$A$39,0),MATCH('Calibración de recursos'!M$43,'Calibración de recursos'!$B$36:$G$36,0))=1),1,0)</f>
        <v>0</v>
      </c>
      <c r="R24" s="11" t="n">
        <f aca="false">SUM(F24:Q24)</f>
        <v>2</v>
      </c>
      <c r="S24" s="11" t="s">
        <v>869</v>
      </c>
    </row>
  </sheetData>
  <autoFilter ref="A4:S24"/>
  <dataValidations count="3">
    <dataValidation allowBlank="false" errorStyle="stop" operator="between" showDropDown="false" showErrorMessage="false" showInputMessage="false" sqref="C5:C24" type="list">
      <formula1>"júnior,intermedio,sénior"</formula1>
      <formula2>0</formula2>
    </dataValidation>
    <dataValidation allowBlank="false" errorStyle="stop" operator="between" showDropDown="false" showErrorMessage="false" showInputMessage="false" sqref="D5:D24" type="list">
      <formula1>"Todas,Cromatografía,Fisicoquímica"</formula1>
      <formula2>0</formula2>
    </dataValidation>
    <dataValidation allowBlank="false" errorStyle="stop" operator="between" showDropDown="false" showErrorMessage="false" showInputMessage="false" sqref="B5:B24" type="list">
      <formula1>"T1,T2,T3"</formula1>
      <formula2>0</formula2>
    </dataValidation>
  </dataValidation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3"/>
    <col collapsed="false" customWidth="true" hidden="false" outlineLevel="0" max="7" min="5" style="0" width="12"/>
    <col collapsed="false" customWidth="true" hidden="false" outlineLevel="0" max="8" min="8" style="0" width="13"/>
    <col collapsed="false" customWidth="true" hidden="false" outlineLevel="0" max="13" min="9" style="0" width="10"/>
    <col collapsed="false" customWidth="true" hidden="false" outlineLevel="0" max="14" min="14" style="0" width="40"/>
  </cols>
  <sheetData>
    <row r="1" customFormat="false" ht="17.35" hidden="false" customHeight="false" outlineLevel="0" collapsed="false">
      <c r="A1" s="1" t="s">
        <v>895</v>
      </c>
    </row>
    <row r="2" customFormat="false" ht="15" hidden="false" customHeight="false" outlineLevel="0" collapsed="false">
      <c r="A2" s="2" t="s">
        <v>896</v>
      </c>
    </row>
    <row r="4" customFormat="false" ht="15" hidden="false" customHeight="false" outlineLevel="0" collapsed="false">
      <c r="A4" s="5" t="s">
        <v>897</v>
      </c>
    </row>
    <row r="5" customFormat="false" ht="35.05" hidden="false" customHeight="false" outlineLevel="0" collapsed="false">
      <c r="A5" s="10" t="s">
        <v>898</v>
      </c>
      <c r="B5" s="10" t="s">
        <v>469</v>
      </c>
      <c r="C5" s="10" t="s">
        <v>899</v>
      </c>
      <c r="D5" s="10" t="s">
        <v>600</v>
      </c>
      <c r="E5" s="10" t="s">
        <v>900</v>
      </c>
      <c r="F5" s="10" t="s">
        <v>901</v>
      </c>
      <c r="G5" s="10" t="s">
        <v>902</v>
      </c>
      <c r="H5" s="10" t="s">
        <v>903</v>
      </c>
    </row>
    <row r="6" customFormat="false" ht="15" hidden="false" customHeight="false" outlineLevel="0" collapsed="false">
      <c r="A6" s="11" t="s">
        <v>615</v>
      </c>
      <c r="B6" s="11" t="str">
        <f aca="false">Catálogo!B5</f>
        <v>HPLC</v>
      </c>
      <c r="C6" s="46" t="s">
        <v>844</v>
      </c>
      <c r="D6" s="42" t="n">
        <f aca="false">Catálogo!M5</f>
        <v>0.308056896551724</v>
      </c>
      <c r="E6" s="58" t="n">
        <f aca="false">D6*Demanda!$C$11</f>
        <v>4720.35582586207</v>
      </c>
      <c r="F6" s="43" t="n">
        <f aca="false">(Duraciones!D6+Duraciones!E6+Duraciones!F6)/3</f>
        <v>46.6666666666667</v>
      </c>
      <c r="G6" s="43" t="n">
        <f aca="false">Catálogo!T5</f>
        <v>62.2867972204675</v>
      </c>
      <c r="H6" s="58" t="n">
        <f aca="false">E6*(F6+G6)/60</f>
        <v>8571.65196679143</v>
      </c>
    </row>
    <row r="7" customFormat="false" ht="15" hidden="false" customHeight="false" outlineLevel="0" collapsed="false">
      <c r="A7" s="11" t="s">
        <v>625</v>
      </c>
      <c r="B7" s="11" t="str">
        <f aca="false">Catálogo!B6</f>
        <v>HPLC</v>
      </c>
      <c r="C7" s="46" t="s">
        <v>841</v>
      </c>
      <c r="D7" s="42" t="n">
        <f aca="false">Catálogo!M6</f>
        <v>0.0989431034482759</v>
      </c>
      <c r="E7" s="58" t="n">
        <f aca="false">D7*Demanda!$C$11</f>
        <v>1516.10517413793</v>
      </c>
      <c r="F7" s="43" t="n">
        <f aca="false">(Duraciones!D6+Duraciones!E6+Duraciones!F6)/3</f>
        <v>46.6666666666667</v>
      </c>
      <c r="G7" s="43" t="n">
        <f aca="false">Catálogo!T6</f>
        <v>155.716993051169</v>
      </c>
      <c r="H7" s="58" t="n">
        <f aca="false">E7*(F7+G7)/60</f>
        <v>5113.91522765301</v>
      </c>
    </row>
    <row r="8" customFormat="false" ht="15" hidden="false" customHeight="false" outlineLevel="0" collapsed="false">
      <c r="A8" s="11" t="s">
        <v>632</v>
      </c>
      <c r="B8" s="11" t="str">
        <f aca="false">Catálogo!B7</f>
        <v>GC</v>
      </c>
      <c r="C8" s="46" t="s">
        <v>846</v>
      </c>
      <c r="D8" s="42" t="n">
        <f aca="false">Catálogo!M7</f>
        <v>0.07967</v>
      </c>
      <c r="E8" s="58" t="n">
        <f aca="false">D8*Demanda!$C$11</f>
        <v>1220.78341</v>
      </c>
      <c r="F8" s="43" t="n">
        <f aca="false">(Duraciones!D10+Duraciones!E10+Duraciones!F10)/3</f>
        <v>12.3333333333333</v>
      </c>
      <c r="G8" s="43" t="n">
        <f aca="false">Catálogo!T7</f>
        <v>46.0966542750929</v>
      </c>
      <c r="H8" s="58" t="n">
        <f aca="false">E8*(F8+G8)/60</f>
        <v>1188.83932531454</v>
      </c>
    </row>
    <row r="9" customFormat="false" ht="15" hidden="false" customHeight="false" outlineLevel="0" collapsed="false">
      <c r="A9" s="11" t="s">
        <v>637</v>
      </c>
      <c r="B9" s="11" t="str">
        <f aca="false">Catálogo!B8</f>
        <v>GC</v>
      </c>
      <c r="C9" s="46" t="s">
        <v>848</v>
      </c>
      <c r="D9" s="42" t="n">
        <f aca="false">Catálogo!M8</f>
        <v>0.17733</v>
      </c>
      <c r="E9" s="58" t="n">
        <f aca="false">D9*Demanda!$C$11</f>
        <v>2717.22759</v>
      </c>
      <c r="F9" s="43" t="n">
        <f aca="false">(Duraciones!D10+Duraciones!E10+Duraciones!F10)/3</f>
        <v>12.3333333333333</v>
      </c>
      <c r="G9" s="43" t="n">
        <f aca="false">Catálogo!T8</f>
        <v>69.1449814126394</v>
      </c>
      <c r="H9" s="58" t="n">
        <f aca="false">E9*(F9+G9)/60</f>
        <v>3689.91874690768</v>
      </c>
    </row>
    <row r="10" customFormat="false" ht="15" hidden="false" customHeight="false" outlineLevel="0" collapsed="false">
      <c r="A10" s="11" t="s">
        <v>643</v>
      </c>
      <c r="B10" s="11" t="str">
        <f aca="false">Catálogo!B9</f>
        <v>PSA</v>
      </c>
      <c r="C10" s="46" t="s">
        <v>850</v>
      </c>
      <c r="D10" s="42" t="n">
        <f aca="false">Catálogo!M9</f>
        <v>0.068044776119403</v>
      </c>
      <c r="E10" s="58" t="n">
        <f aca="false">D10*Demanda!$C$11</f>
        <v>1042.65010447761</v>
      </c>
      <c r="F10" s="43" t="n">
        <f aca="false">(Duraciones!D14+Duraciones!F14)/2</f>
        <v>16.5</v>
      </c>
      <c r="G10" s="43" t="n">
        <f aca="false">Catálogo!T9</f>
        <v>9.54845740625192</v>
      </c>
      <c r="H10" s="58" t="n">
        <f aca="false">E10*(F10+G10)/60</f>
        <v>452.657113935153</v>
      </c>
    </row>
    <row r="11" customFormat="false" ht="15" hidden="false" customHeight="false" outlineLevel="0" collapsed="false">
      <c r="A11" s="11" t="s">
        <v>651</v>
      </c>
      <c r="B11" s="11" t="str">
        <f aca="false">Catálogo!B10</f>
        <v>PSA</v>
      </c>
      <c r="C11" s="46" t="s">
        <v>852</v>
      </c>
      <c r="D11" s="42" t="n">
        <f aca="false">Catálogo!M10</f>
        <v>0.119955223880597</v>
      </c>
      <c r="E11" s="58" t="n">
        <f aca="false">D11*Demanda!$C$11</f>
        <v>1838.07389552239</v>
      </c>
      <c r="F11" s="43" t="n">
        <f aca="false">(Duraciones!D14+Duraciones!F14)/2</f>
        <v>16.5</v>
      </c>
      <c r="G11" s="43" t="n">
        <f aca="false">Catálogo!T10</f>
        <v>18.0923955063951</v>
      </c>
      <c r="H11" s="58" t="n">
        <f aca="false">E11*(F11+G11)/60</f>
        <v>1059.72298606485</v>
      </c>
    </row>
    <row r="12" customFormat="false" ht="15" hidden="false" customHeight="false" outlineLevel="0" collapsed="false">
      <c r="A12" s="11" t="s">
        <v>657</v>
      </c>
      <c r="B12" s="11" t="str">
        <f aca="false">Catálogo!B11</f>
        <v>KF</v>
      </c>
      <c r="C12" s="46" t="s">
        <v>854</v>
      </c>
      <c r="D12" s="42" t="n">
        <f aca="false">Catálogo!M11</f>
        <v>0.045484375</v>
      </c>
      <c r="E12" s="58" t="n">
        <f aca="false">D12*Demanda!$C$11</f>
        <v>696.957078125</v>
      </c>
      <c r="F12" s="43" t="n">
        <f aca="false">(Duraciones!D18+Duraciones!E18+Duraciones!F18)/3</f>
        <v>9.33333333333333</v>
      </c>
      <c r="G12" s="43" t="n">
        <f aca="false">Catálogo!T11</f>
        <v>13.1313057357751</v>
      </c>
      <c r="H12" s="58" t="n">
        <f aca="false">E12*(F12+G12)/60</f>
        <v>260.948153445642</v>
      </c>
    </row>
    <row r="13" customFormat="false" ht="15" hidden="false" customHeight="false" outlineLevel="0" collapsed="false">
      <c r="A13" s="11" t="s">
        <v>663</v>
      </c>
      <c r="B13" s="11" t="str">
        <f aca="false">Catálogo!B12</f>
        <v>KF</v>
      </c>
      <c r="C13" s="46" t="s">
        <v>856</v>
      </c>
      <c r="D13" s="42" t="n">
        <f aca="false">Catálogo!M12</f>
        <v>0.025515625</v>
      </c>
      <c r="E13" s="58" t="n">
        <f aca="false">D13*Demanda!$C$11</f>
        <v>390.975921875</v>
      </c>
      <c r="F13" s="43" t="n">
        <f aca="false">(Duraciones!D18+Duraciones!E18+Duraciones!F18)/3</f>
        <v>9.33333333333333</v>
      </c>
      <c r="G13" s="43" t="n">
        <f aca="false">Catálogo!T12</f>
        <v>35.0268028188357</v>
      </c>
      <c r="H13" s="58" t="n">
        <f aca="false">E13*(F13+G13)/60</f>
        <v>289.06241877658</v>
      </c>
    </row>
    <row r="14" customFormat="false" ht="15" hidden="false" customHeight="false" outlineLevel="0" collapsed="false">
      <c r="A14" s="11" t="s">
        <v>670</v>
      </c>
      <c r="B14" s="11" t="str">
        <f aca="false">Catálogo!B13</f>
        <v>DSC</v>
      </c>
      <c r="C14" s="46" t="s">
        <v>506</v>
      </c>
      <c r="D14" s="42" t="n">
        <f aca="false">Catálogo!M13</f>
        <v>0.00733333333333333</v>
      </c>
      <c r="E14" s="58" t="n">
        <f aca="false">D14*Demanda!$C$11</f>
        <v>112.368666666667</v>
      </c>
      <c r="F14" s="43" t="n">
        <f aca="false">(Duraciones!D22+Duraciones!E22+Duraciones!F22)/3</f>
        <v>5.33333333333333</v>
      </c>
      <c r="G14" s="43" t="n">
        <f aca="false">Catálogo!T13</f>
        <v>27.4</v>
      </c>
      <c r="H14" s="58" t="n">
        <f aca="false">E14*(F14+G14)/60</f>
        <v>61.3033503703704</v>
      </c>
    </row>
    <row r="15" customFormat="false" ht="15" hidden="false" customHeight="false" outlineLevel="0" collapsed="false">
      <c r="A15" s="11" t="s">
        <v>676</v>
      </c>
      <c r="B15" s="11" t="str">
        <f aca="false">Catálogo!B14</f>
        <v>DSC</v>
      </c>
      <c r="C15" s="46" t="s">
        <v>506</v>
      </c>
      <c r="D15" s="42" t="n">
        <f aca="false">Catálogo!M14</f>
        <v>0.0326666666666667</v>
      </c>
      <c r="E15" s="58" t="n">
        <f aca="false">D15*Demanda!$C$11</f>
        <v>500.551333333333</v>
      </c>
      <c r="F15" s="43" t="n">
        <f aca="false">(Duraciones!D22+Duraciones!E22+Duraciones!F22)/3</f>
        <v>5.33333333333333</v>
      </c>
      <c r="G15" s="43" t="n">
        <f aca="false">Catálogo!T14</f>
        <v>111.4</v>
      </c>
      <c r="H15" s="58" t="n">
        <f aca="false">E15*(F15+G15)/60</f>
        <v>973.850427407407</v>
      </c>
    </row>
    <row r="16" customFormat="false" ht="15" hidden="false" customHeight="false" outlineLevel="0" collapsed="false">
      <c r="A16" s="11" t="s">
        <v>680</v>
      </c>
      <c r="B16" s="11" t="str">
        <f aca="false">Catálogo!B15</f>
        <v>XRPD</v>
      </c>
      <c r="C16" s="46" t="s">
        <v>510</v>
      </c>
      <c r="D16" s="42" t="n">
        <f aca="false">Catálogo!M15</f>
        <v>0.0288071428571429</v>
      </c>
      <c r="E16" s="58" t="n">
        <f aca="false">D16*Demanda!$C$11</f>
        <v>441.41185</v>
      </c>
      <c r="F16" s="43" t="n">
        <f aca="false">(Duraciones!D26+Duraciones!E26+Duraciones!F26)/3</f>
        <v>8.66666666666667</v>
      </c>
      <c r="G16" s="43" t="n">
        <f aca="false">Catálogo!T15</f>
        <v>61.0840390311498</v>
      </c>
      <c r="H16" s="58" t="n">
        <f aca="false">E16*(F16+G16)/60</f>
        <v>513.146467347978</v>
      </c>
    </row>
    <row r="17" customFormat="false" ht="15" hidden="false" customHeight="false" outlineLevel="0" collapsed="false">
      <c r="A17" s="11" t="s">
        <v>686</v>
      </c>
      <c r="B17" s="11" t="str">
        <f aca="false">Catálogo!B16</f>
        <v>XRPD</v>
      </c>
      <c r="C17" s="46" t="s">
        <v>510</v>
      </c>
      <c r="D17" s="42" t="n">
        <f aca="false">Catálogo!M16</f>
        <v>0.00819285714285715</v>
      </c>
      <c r="E17" s="58" t="n">
        <f aca="false">D17*Demanda!$C$11</f>
        <v>125.53915</v>
      </c>
      <c r="F17" s="43" t="n">
        <f aca="false">(Duraciones!D26+Duraciones!E26+Duraciones!F26)/3</f>
        <v>8.66666666666667</v>
      </c>
      <c r="G17" s="43" t="n">
        <f aca="false">Catálogo!T16</f>
        <v>145.005583191549</v>
      </c>
      <c r="H17" s="58" t="n">
        <f aca="false">E17*(F17+G17)/60</f>
        <v>321.531393763133</v>
      </c>
    </row>
    <row r="18" customFormat="false" ht="15" hidden="false" customHeight="false" outlineLevel="0" collapsed="false">
      <c r="A18" s="48" t="s">
        <v>563</v>
      </c>
      <c r="H18" s="62" t="n">
        <f aca="false">SUM(H6:H17)</f>
        <v>22496.5475777778</v>
      </c>
    </row>
    <row r="19" customFormat="false" ht="15" hidden="false" customHeight="false" outlineLevel="0" collapsed="false">
      <c r="A19" s="17" t="s">
        <v>904</v>
      </c>
    </row>
    <row r="21" customFormat="false" ht="15" hidden="false" customHeight="false" outlineLevel="0" collapsed="false">
      <c r="A21" s="5" t="s">
        <v>905</v>
      </c>
    </row>
    <row r="22" customFormat="false" ht="15" hidden="false" customHeight="true" outlineLevel="0" collapsed="false">
      <c r="A22" s="11" t="s">
        <v>906</v>
      </c>
      <c r="B22" s="52" t="n">
        <v>70</v>
      </c>
      <c r="C22" s="11" t="s">
        <v>907</v>
      </c>
      <c r="D22" s="11"/>
      <c r="E22" s="11"/>
      <c r="F22" s="11"/>
      <c r="G22" s="11"/>
      <c r="H22" s="11"/>
    </row>
    <row r="23" customFormat="false" ht="15" hidden="false" customHeight="true" outlineLevel="0" collapsed="false">
      <c r="A23" s="11" t="s">
        <v>908</v>
      </c>
      <c r="B23" s="52" t="n">
        <v>22</v>
      </c>
      <c r="C23" s="11" t="s">
        <v>909</v>
      </c>
      <c r="D23" s="11"/>
      <c r="E23" s="11"/>
      <c r="F23" s="11"/>
      <c r="G23" s="11"/>
      <c r="H23" s="11"/>
    </row>
    <row r="24" customFormat="false" ht="15" hidden="false" customHeight="true" outlineLevel="0" collapsed="false">
      <c r="A24" s="11" t="s">
        <v>61</v>
      </c>
      <c r="B24" s="52" t="n">
        <v>20</v>
      </c>
      <c r="C24" s="11" t="s">
        <v>907</v>
      </c>
      <c r="D24" s="11"/>
      <c r="E24" s="11"/>
      <c r="F24" s="11"/>
      <c r="G24" s="11"/>
      <c r="H24" s="11"/>
    </row>
    <row r="25" customFormat="false" ht="15" hidden="false" customHeight="true" outlineLevel="0" collapsed="false">
      <c r="A25" s="11" t="s">
        <v>910</v>
      </c>
      <c r="B25" s="52" t="n">
        <v>6</v>
      </c>
      <c r="C25" s="11" t="s">
        <v>911</v>
      </c>
      <c r="D25" s="11"/>
      <c r="E25" s="11"/>
      <c r="F25" s="11"/>
      <c r="G25" s="11"/>
      <c r="H25" s="11"/>
    </row>
    <row r="26" customFormat="false" ht="15" hidden="false" customHeight="true" outlineLevel="0" collapsed="false">
      <c r="A26" s="11" t="s">
        <v>912</v>
      </c>
      <c r="B26" s="52" t="n">
        <v>4</v>
      </c>
      <c r="C26" s="11" t="s">
        <v>911</v>
      </c>
      <c r="D26" s="11"/>
      <c r="E26" s="11"/>
      <c r="F26" s="11"/>
      <c r="G26" s="11"/>
      <c r="H26" s="11"/>
    </row>
    <row r="27" customFormat="false" ht="15" hidden="false" customHeight="true" outlineLevel="0" collapsed="false">
      <c r="A27" s="11" t="s">
        <v>913</v>
      </c>
      <c r="B27" s="52" t="n">
        <v>10</v>
      </c>
      <c r="C27" s="11" t="s">
        <v>911</v>
      </c>
      <c r="D27" s="11"/>
      <c r="E27" s="11"/>
      <c r="F27" s="11"/>
      <c r="G27" s="11"/>
      <c r="H27" s="11"/>
    </row>
    <row r="29" customFormat="false" ht="15" hidden="false" customHeight="false" outlineLevel="0" collapsed="false">
      <c r="A29" s="5" t="s">
        <v>914</v>
      </c>
    </row>
    <row r="30" customFormat="false" ht="23.85" hidden="false" customHeight="false" outlineLevel="0" collapsed="false">
      <c r="A30" s="10" t="s">
        <v>693</v>
      </c>
      <c r="B30" s="10" t="s">
        <v>915</v>
      </c>
      <c r="C30" s="10" t="s">
        <v>863</v>
      </c>
      <c r="D30" s="10" t="s">
        <v>61</v>
      </c>
      <c r="E30" s="10" t="s">
        <v>916</v>
      </c>
    </row>
    <row r="31" customFormat="false" ht="15" hidden="false" customHeight="false" outlineLevel="0" collapsed="false">
      <c r="A31" s="11" t="s">
        <v>883</v>
      </c>
      <c r="B31" s="41" t="n">
        <v>1</v>
      </c>
      <c r="C31" s="47" t="n">
        <v>1.15</v>
      </c>
      <c r="D31" s="41" t="n">
        <f aca="false">COUNTIF(Analistas!$C$5:$C$24,A31)</f>
        <v>6</v>
      </c>
      <c r="E31" s="56" t="n">
        <f aca="false">IFERROR(D31/SUM($D$31:$D$33),0)</f>
        <v>0.3</v>
      </c>
    </row>
    <row r="32" customFormat="false" ht="15" hidden="false" customHeight="false" outlineLevel="0" collapsed="false">
      <c r="A32" s="11" t="s">
        <v>872</v>
      </c>
      <c r="B32" s="41" t="n">
        <v>2</v>
      </c>
      <c r="C32" s="47" t="n">
        <v>1</v>
      </c>
      <c r="D32" s="41" t="n">
        <f aca="false">COUNTIF(Analistas!$C$5:$C$24,A32)</f>
        <v>9</v>
      </c>
      <c r="E32" s="56" t="n">
        <f aca="false">IFERROR(D32/SUM($D$31:$D$33),0)</f>
        <v>0.45</v>
      </c>
    </row>
    <row r="33" customFormat="false" ht="15" hidden="false" customHeight="false" outlineLevel="0" collapsed="false">
      <c r="A33" s="11" t="s">
        <v>867</v>
      </c>
      <c r="B33" s="41" t="n">
        <v>3</v>
      </c>
      <c r="C33" s="47" t="n">
        <v>0.9</v>
      </c>
      <c r="D33" s="41" t="n">
        <f aca="false">COUNTIF(Analistas!$C$5:$C$24,A33)</f>
        <v>5</v>
      </c>
      <c r="E33" s="56" t="n">
        <f aca="false">IFERROR(D33/SUM($D$31:$D$33),0)</f>
        <v>0.25</v>
      </c>
    </row>
    <row r="35" customFormat="false" ht="15" hidden="false" customHeight="false" outlineLevel="0" collapsed="false">
      <c r="A35" s="5" t="s">
        <v>917</v>
      </c>
    </row>
    <row r="36" customFormat="false" ht="15" hidden="false" customHeight="false" outlineLevel="0" collapsed="false">
      <c r="A36" s="10" t="s">
        <v>862</v>
      </c>
      <c r="B36" s="10" t="s">
        <v>480</v>
      </c>
      <c r="C36" s="10" t="s">
        <v>491</v>
      </c>
      <c r="D36" s="10" t="s">
        <v>495</v>
      </c>
      <c r="E36" s="10" t="s">
        <v>501</v>
      </c>
      <c r="F36" s="10" t="s">
        <v>506</v>
      </c>
      <c r="G36" s="10" t="s">
        <v>510</v>
      </c>
    </row>
    <row r="37" customFormat="false" ht="15" hidden="false" customHeight="false" outlineLevel="0" collapsed="false">
      <c r="A37" s="11" t="s">
        <v>868</v>
      </c>
      <c r="B37" s="45" t="n">
        <v>1</v>
      </c>
      <c r="C37" s="45" t="n">
        <v>1</v>
      </c>
      <c r="D37" s="45" t="n">
        <v>1</v>
      </c>
      <c r="E37" s="45" t="n">
        <v>1</v>
      </c>
      <c r="F37" s="45" t="n">
        <v>1</v>
      </c>
      <c r="G37" s="45" t="n">
        <v>1</v>
      </c>
    </row>
    <row r="38" customFormat="false" ht="15" hidden="false" customHeight="false" outlineLevel="0" collapsed="false">
      <c r="A38" s="11" t="s">
        <v>878</v>
      </c>
      <c r="B38" s="45" t="n">
        <v>1</v>
      </c>
      <c r="C38" s="45" t="n">
        <v>1</v>
      </c>
      <c r="D38" s="45" t="n">
        <v>0</v>
      </c>
      <c r="E38" s="45" t="n">
        <v>0</v>
      </c>
      <c r="F38" s="45" t="n">
        <v>0</v>
      </c>
      <c r="G38" s="45" t="n">
        <v>0</v>
      </c>
    </row>
    <row r="39" customFormat="false" ht="15" hidden="false" customHeight="false" outlineLevel="0" collapsed="false">
      <c r="A39" s="11" t="s">
        <v>881</v>
      </c>
      <c r="B39" s="45" t="n">
        <v>0</v>
      </c>
      <c r="C39" s="45" t="n">
        <v>0</v>
      </c>
      <c r="D39" s="45" t="n">
        <v>1</v>
      </c>
      <c r="E39" s="45" t="n">
        <v>1</v>
      </c>
      <c r="F39" s="45" t="n">
        <v>1</v>
      </c>
      <c r="G39" s="45" t="n">
        <v>1</v>
      </c>
    </row>
    <row r="41" customFormat="false" ht="15" hidden="false" customHeight="false" outlineLevel="0" collapsed="false">
      <c r="A41" s="5" t="s">
        <v>918</v>
      </c>
    </row>
    <row r="42" customFormat="false" ht="15" hidden="false" customHeight="false" outlineLevel="0" collapsed="false">
      <c r="A42" s="10" t="s">
        <v>919</v>
      </c>
      <c r="B42" s="10" t="s">
        <v>615</v>
      </c>
      <c r="C42" s="10" t="s">
        <v>625</v>
      </c>
      <c r="D42" s="10" t="s">
        <v>632</v>
      </c>
      <c r="E42" s="10" t="s">
        <v>637</v>
      </c>
      <c r="F42" s="10" t="s">
        <v>643</v>
      </c>
      <c r="G42" s="10" t="s">
        <v>651</v>
      </c>
      <c r="H42" s="10" t="s">
        <v>657</v>
      </c>
      <c r="I42" s="10" t="s">
        <v>663</v>
      </c>
      <c r="J42" s="10" t="s">
        <v>670</v>
      </c>
      <c r="K42" s="10" t="s">
        <v>676</v>
      </c>
      <c r="L42" s="10" t="s">
        <v>680</v>
      </c>
      <c r="M42" s="10" t="s">
        <v>686</v>
      </c>
    </row>
    <row r="43" customFormat="false" ht="15" hidden="false" customHeight="false" outlineLevel="0" collapsed="false">
      <c r="A43" s="11" t="s">
        <v>469</v>
      </c>
      <c r="B43" s="11" t="str">
        <f aca="false">Catálogo!B5</f>
        <v>HPLC</v>
      </c>
      <c r="C43" s="11" t="str">
        <f aca="false">Catálogo!B6</f>
        <v>HPLC</v>
      </c>
      <c r="D43" s="11" t="str">
        <f aca="false">Catálogo!B7</f>
        <v>GC</v>
      </c>
      <c r="E43" s="11" t="str">
        <f aca="false">Catálogo!B8</f>
        <v>GC</v>
      </c>
      <c r="F43" s="11" t="str">
        <f aca="false">Catálogo!B9</f>
        <v>PSA</v>
      </c>
      <c r="G43" s="11" t="str">
        <f aca="false">Catálogo!B10</f>
        <v>PSA</v>
      </c>
      <c r="H43" s="11" t="str">
        <f aca="false">Catálogo!B11</f>
        <v>KF</v>
      </c>
      <c r="I43" s="11" t="str">
        <f aca="false">Catálogo!B12</f>
        <v>KF</v>
      </c>
      <c r="J43" s="11" t="str">
        <f aca="false">Catálogo!B13</f>
        <v>DSC</v>
      </c>
      <c r="K43" s="11" t="str">
        <f aca="false">Catálogo!B14</f>
        <v>DSC</v>
      </c>
      <c r="L43" s="11" t="str">
        <f aca="false">Catálogo!B15</f>
        <v>XRPD</v>
      </c>
      <c r="M43" s="11" t="str">
        <f aca="false">Catálogo!B16</f>
        <v>XRPD</v>
      </c>
    </row>
    <row r="44" customFormat="false" ht="23.85" hidden="false" customHeight="false" outlineLevel="0" collapsed="false">
      <c r="A44" s="11" t="s">
        <v>920</v>
      </c>
      <c r="B44" s="41" t="n">
        <f aca="false">MATCH(Catálogo!H5,'Calibración del catálogo'!$A$6:$A$8,0)</f>
        <v>1</v>
      </c>
      <c r="C44" s="41" t="n">
        <f aca="false">MATCH(Catálogo!H6,'Calibración del catálogo'!$A$6:$A$8,0)</f>
        <v>2</v>
      </c>
      <c r="D44" s="41" t="n">
        <f aca="false">MATCH(Catálogo!H7,'Calibración del catálogo'!$A$6:$A$8,0)</f>
        <v>1</v>
      </c>
      <c r="E44" s="41" t="n">
        <f aca="false">MATCH(Catálogo!H8,'Calibración del catálogo'!$A$6:$A$8,0)</f>
        <v>2</v>
      </c>
      <c r="F44" s="41" t="n">
        <f aca="false">MATCH(Catálogo!H9,'Calibración del catálogo'!$A$6:$A$8,0)</f>
        <v>1</v>
      </c>
      <c r="G44" s="41" t="n">
        <f aca="false">MATCH(Catálogo!H10,'Calibración del catálogo'!$A$6:$A$8,0)</f>
        <v>2</v>
      </c>
      <c r="H44" s="41" t="n">
        <f aca="false">MATCH(Catálogo!H11,'Calibración del catálogo'!$A$6:$A$8,0)</f>
        <v>2</v>
      </c>
      <c r="I44" s="41" t="n">
        <f aca="false">MATCH(Catálogo!H12,'Calibración del catálogo'!$A$6:$A$8,0)</f>
        <v>3</v>
      </c>
      <c r="J44" s="41" t="n">
        <f aca="false">MATCH(Catálogo!H13,'Calibración del catálogo'!$A$6:$A$8,0)</f>
        <v>1</v>
      </c>
      <c r="K44" s="41" t="n">
        <f aca="false">MATCH(Catálogo!H14,'Calibración del catálogo'!$A$6:$A$8,0)</f>
        <v>2</v>
      </c>
      <c r="L44" s="41" t="n">
        <f aca="false">MATCH(Catálogo!H15,'Calibración del catálogo'!$A$6:$A$8,0)</f>
        <v>2</v>
      </c>
      <c r="M44" s="41" t="n">
        <f aca="false">MATCH(Catálogo!H16,'Calibración del catálogo'!$A$6:$A$8,0)</f>
        <v>3</v>
      </c>
    </row>
    <row r="45" customFormat="false" ht="15" hidden="false" customHeight="false" outlineLevel="0" collapsed="false">
      <c r="A45" s="11" t="s">
        <v>921</v>
      </c>
      <c r="B45" s="41" t="n">
        <f aca="false">IF(Catálogo!W5="X",1,0)</f>
        <v>1</v>
      </c>
      <c r="C45" s="41" t="n">
        <f aca="false">IF(Catálogo!W6="X",1,0)</f>
        <v>0</v>
      </c>
      <c r="D45" s="41" t="n">
        <f aca="false">IF(Catálogo!W7="X",1,0)</f>
        <v>0</v>
      </c>
      <c r="E45" s="41" t="n">
        <f aca="false">IF(Catálogo!W8="X",1,0)</f>
        <v>1</v>
      </c>
      <c r="F45" s="41" t="n">
        <f aca="false">IF(Catálogo!W9="X",1,0)</f>
        <v>1</v>
      </c>
      <c r="G45" s="41" t="n">
        <f aca="false">IF(Catálogo!W10="X",1,0)</f>
        <v>0</v>
      </c>
      <c r="H45" s="41" t="n">
        <f aca="false">IF(Catálogo!W11="X",1,0)</f>
        <v>1</v>
      </c>
      <c r="I45" s="41" t="n">
        <f aca="false">IF(Catálogo!W12="X",1,0)</f>
        <v>0</v>
      </c>
      <c r="J45" s="41" t="n">
        <f aca="false">IF(Catálogo!W13="X",1,0)</f>
        <v>1</v>
      </c>
      <c r="K45" s="41" t="n">
        <f aca="false">IF(Catálogo!W14="X",1,0)</f>
        <v>0</v>
      </c>
      <c r="L45" s="41" t="n">
        <f aca="false">IF(Catálogo!W15="X",1,0)</f>
        <v>1</v>
      </c>
      <c r="M45" s="41" t="n">
        <f aca="false">IF(Catálogo!W16="X",1,0)</f>
        <v>0</v>
      </c>
    </row>
    <row r="47" customFormat="false" ht="15" hidden="false" customHeight="false" outlineLevel="0" collapsed="false">
      <c r="A47" s="5" t="s">
        <v>922</v>
      </c>
    </row>
    <row r="48" customFormat="false" ht="15" hidden="false" customHeight="false" outlineLevel="0" collapsed="false">
      <c r="A48" s="10" t="s">
        <v>923</v>
      </c>
      <c r="B48" s="10" t="s">
        <v>615</v>
      </c>
      <c r="C48" s="10" t="s">
        <v>625</v>
      </c>
      <c r="D48" s="10" t="s">
        <v>632</v>
      </c>
      <c r="E48" s="10" t="s">
        <v>637</v>
      </c>
      <c r="F48" s="10" t="s">
        <v>643</v>
      </c>
      <c r="G48" s="10" t="s">
        <v>651</v>
      </c>
      <c r="H48" s="10" t="s">
        <v>657</v>
      </c>
      <c r="I48" s="10" t="s">
        <v>663</v>
      </c>
      <c r="J48" s="10" t="s">
        <v>670</v>
      </c>
      <c r="K48" s="10" t="s">
        <v>676</v>
      </c>
      <c r="L48" s="10" t="s">
        <v>680</v>
      </c>
      <c r="M48" s="10" t="s">
        <v>686</v>
      </c>
    </row>
    <row r="49" customFormat="false" ht="15" hidden="false" customHeight="false" outlineLevel="0" collapsed="false">
      <c r="A49" s="11" t="s">
        <v>924</v>
      </c>
      <c r="B49" s="41" t="n">
        <f aca="false">SUM(Analistas!F$5:F$24)</f>
        <v>15</v>
      </c>
      <c r="C49" s="41" t="n">
        <f aca="false">SUM(Analistas!G$5:G$24)</f>
        <v>11</v>
      </c>
      <c r="D49" s="41" t="n">
        <f aca="false">SUM(Analistas!H$5:H$24)</f>
        <v>15</v>
      </c>
      <c r="E49" s="41" t="n">
        <f aca="false">SUM(Analistas!I$5:I$24)</f>
        <v>11</v>
      </c>
      <c r="F49" s="41" t="n">
        <f aca="false">SUM(Analistas!J$5:J$24)</f>
        <v>11</v>
      </c>
      <c r="G49" s="41" t="n">
        <f aca="false">SUM(Analistas!K$5:K$24)</f>
        <v>9</v>
      </c>
      <c r="H49" s="41" t="n">
        <f aca="false">SUM(Analistas!L$5:L$24)</f>
        <v>9</v>
      </c>
      <c r="I49" s="41" t="n">
        <f aca="false">SUM(Analistas!M$5:M$24)</f>
        <v>3</v>
      </c>
      <c r="J49" s="41" t="n">
        <f aca="false">SUM(Analistas!N$5:N$24)</f>
        <v>11</v>
      </c>
      <c r="K49" s="41" t="n">
        <f aca="false">SUM(Analistas!O$5:O$24)</f>
        <v>9</v>
      </c>
      <c r="L49" s="41" t="n">
        <f aca="false">SUM(Analistas!P$5:P$24)</f>
        <v>9</v>
      </c>
      <c r="M49" s="41" t="n">
        <f aca="false">SUM(Analistas!Q$5:Q$24)</f>
        <v>3</v>
      </c>
    </row>
    <row r="50" customFormat="false" ht="15" hidden="false" customHeight="false" outlineLevel="0" collapsed="false">
      <c r="A50" s="11" t="s">
        <v>925</v>
      </c>
      <c r="B50" s="41" t="n">
        <f aca="false">SUMIF(Analistas!$B$5:$B$24,"T1",Analistas!F$5:F$24)</f>
        <v>6</v>
      </c>
      <c r="C50" s="41" t="n">
        <f aca="false">SUMIF(Analistas!$B$5:$B$24,"T1",Analistas!G$5:G$24)</f>
        <v>6</v>
      </c>
      <c r="D50" s="41" t="n">
        <f aca="false">SUMIF(Analistas!$B$5:$B$24,"T1",Analistas!H$5:H$24)</f>
        <v>6</v>
      </c>
      <c r="E50" s="41" t="n">
        <f aca="false">SUMIF(Analistas!$B$5:$B$24,"T1",Analistas!I$5:I$24)</f>
        <v>6</v>
      </c>
      <c r="F50" s="41" t="n">
        <f aca="false">SUMIF(Analistas!$B$5:$B$24,"T1",Analistas!J$5:J$24)</f>
        <v>6</v>
      </c>
      <c r="G50" s="41" t="n">
        <f aca="false">SUMIF(Analistas!$B$5:$B$24,"T1",Analistas!K$5:K$24)</f>
        <v>6</v>
      </c>
      <c r="H50" s="41" t="n">
        <f aca="false">SUMIF(Analistas!$B$5:$B$24,"T1",Analistas!L$5:L$24)</f>
        <v>6</v>
      </c>
      <c r="I50" s="41" t="n">
        <f aca="false">SUMIF(Analistas!$B$5:$B$24,"T1",Analistas!M$5:M$24)</f>
        <v>2</v>
      </c>
      <c r="J50" s="41" t="n">
        <f aca="false">SUMIF(Analistas!$B$5:$B$24,"T1",Analistas!N$5:N$24)</f>
        <v>6</v>
      </c>
      <c r="K50" s="41" t="n">
        <f aca="false">SUMIF(Analistas!$B$5:$B$24,"T1",Analistas!O$5:O$24)</f>
        <v>6</v>
      </c>
      <c r="L50" s="41" t="n">
        <f aca="false">SUMIF(Analistas!$B$5:$B$24,"T1",Analistas!P$5:P$24)</f>
        <v>6</v>
      </c>
      <c r="M50" s="41" t="n">
        <f aca="false">SUMIF(Analistas!$B$5:$B$24,"T1",Analistas!Q$5:Q$24)</f>
        <v>2</v>
      </c>
    </row>
    <row r="51" customFormat="false" ht="15" hidden="false" customHeight="false" outlineLevel="0" collapsed="false">
      <c r="A51" s="11" t="s">
        <v>926</v>
      </c>
      <c r="B51" s="41" t="n">
        <f aca="false">SUMIF(Analistas!$B$5:$B$24,"T2",Analistas!F$5:F$24)</f>
        <v>3</v>
      </c>
      <c r="C51" s="41" t="n">
        <f aca="false">SUMIF(Analistas!$B$5:$B$24,"T2",Analistas!G$5:G$24)</f>
        <v>2</v>
      </c>
      <c r="D51" s="41" t="n">
        <f aca="false">SUMIF(Analistas!$B$5:$B$24,"T2",Analistas!H$5:H$24)</f>
        <v>3</v>
      </c>
      <c r="E51" s="41" t="n">
        <f aca="false">SUMIF(Analistas!$B$5:$B$24,"T2",Analistas!I$5:I$24)</f>
        <v>2</v>
      </c>
      <c r="F51" s="41" t="n">
        <f aca="false">SUMIF(Analistas!$B$5:$B$24,"T2",Analistas!J$5:J$24)</f>
        <v>1</v>
      </c>
      <c r="G51" s="41" t="n">
        <f aca="false">SUMIF(Analistas!$B$5:$B$24,"T2",Analistas!K$5:K$24)</f>
        <v>1</v>
      </c>
      <c r="H51" s="41" t="n">
        <f aca="false">SUMIF(Analistas!$B$5:$B$24,"T2",Analistas!L$5:L$24)</f>
        <v>1</v>
      </c>
      <c r="I51" s="41" t="n">
        <f aca="false">SUMIF(Analistas!$B$5:$B$24,"T2",Analistas!M$5:M$24)</f>
        <v>0</v>
      </c>
      <c r="J51" s="41" t="n">
        <f aca="false">SUMIF(Analistas!$B$5:$B$24,"T2",Analistas!N$5:N$24)</f>
        <v>1</v>
      </c>
      <c r="K51" s="41" t="n">
        <f aca="false">SUMIF(Analistas!$B$5:$B$24,"T2",Analistas!O$5:O$24)</f>
        <v>1</v>
      </c>
      <c r="L51" s="41" t="n">
        <f aca="false">SUMIF(Analistas!$B$5:$B$24,"T2",Analistas!P$5:P$24)</f>
        <v>1</v>
      </c>
      <c r="M51" s="41" t="n">
        <f aca="false">SUMIF(Analistas!$B$5:$B$24,"T2",Analistas!Q$5:Q$24)</f>
        <v>0</v>
      </c>
    </row>
    <row r="52" customFormat="false" ht="15" hidden="false" customHeight="false" outlineLevel="0" collapsed="false">
      <c r="A52" s="11" t="s">
        <v>927</v>
      </c>
      <c r="B52" s="41" t="n">
        <f aca="false">SUMIF(Analistas!$B$5:$B$24,"T3",Analistas!F$5:F$24)</f>
        <v>6</v>
      </c>
      <c r="C52" s="41" t="n">
        <f aca="false">SUMIF(Analistas!$B$5:$B$24,"T3",Analistas!G$5:G$24)</f>
        <v>3</v>
      </c>
      <c r="D52" s="41" t="n">
        <f aca="false">SUMIF(Analistas!$B$5:$B$24,"T3",Analistas!H$5:H$24)</f>
        <v>6</v>
      </c>
      <c r="E52" s="41" t="n">
        <f aca="false">SUMIF(Analistas!$B$5:$B$24,"T3",Analistas!I$5:I$24)</f>
        <v>3</v>
      </c>
      <c r="F52" s="41" t="n">
        <f aca="false">SUMIF(Analistas!$B$5:$B$24,"T3",Analistas!J$5:J$24)</f>
        <v>4</v>
      </c>
      <c r="G52" s="41" t="n">
        <f aca="false">SUMIF(Analistas!$B$5:$B$24,"T3",Analistas!K$5:K$24)</f>
        <v>2</v>
      </c>
      <c r="H52" s="41" t="n">
        <f aca="false">SUMIF(Analistas!$B$5:$B$24,"T3",Analistas!L$5:L$24)</f>
        <v>2</v>
      </c>
      <c r="I52" s="41" t="n">
        <f aca="false">SUMIF(Analistas!$B$5:$B$24,"T3",Analistas!M$5:M$24)</f>
        <v>1</v>
      </c>
      <c r="J52" s="41" t="n">
        <f aca="false">SUMIF(Analistas!$B$5:$B$24,"T3",Analistas!N$5:N$24)</f>
        <v>4</v>
      </c>
      <c r="K52" s="41" t="n">
        <f aca="false">SUMIF(Analistas!$B$5:$B$24,"T3",Analistas!O$5:O$24)</f>
        <v>2</v>
      </c>
      <c r="L52" s="41" t="n">
        <f aca="false">SUMIF(Analistas!$B$5:$B$24,"T3",Analistas!P$5:P$24)</f>
        <v>2</v>
      </c>
      <c r="M52" s="41" t="n">
        <f aca="false">SUMIF(Analistas!$B$5:$B$24,"T3",Analistas!Q$5:Q$24)</f>
        <v>1</v>
      </c>
    </row>
    <row r="53" customFormat="false" ht="15" hidden="false" customHeight="false" outlineLevel="0" collapsed="false">
      <c r="A53" s="11" t="s">
        <v>928</v>
      </c>
      <c r="B53" s="41" t="n">
        <f aca="false">SUMIF(Equipos!E$5:E$14,"X",Equipos!$D$5:$D$14)</f>
        <v>41</v>
      </c>
      <c r="C53" s="41" t="n">
        <f aca="false">SUMIF(Equipos!F$5:F$14,"X",Equipos!$D$5:$D$14)</f>
        <v>15</v>
      </c>
      <c r="D53" s="41" t="n">
        <f aca="false">SUMIF(Equipos!G$5:G$14,"X",Equipos!$D$5:$D$14)</f>
        <v>4</v>
      </c>
      <c r="E53" s="41" t="n">
        <f aca="false">SUMIF(Equipos!H$5:H$14,"X",Equipos!$D$5:$D$14)</f>
        <v>11</v>
      </c>
      <c r="F53" s="41" t="n">
        <f aca="false">SUMIF(Equipos!I$5:I$14,"X",Equipos!$D$5:$D$14)</f>
        <v>2</v>
      </c>
      <c r="G53" s="41" t="n">
        <f aca="false">SUMIF(Equipos!J$5:J$14,"X",Equipos!$D$5:$D$14)</f>
        <v>3</v>
      </c>
      <c r="H53" s="41" t="n">
        <f aca="false">SUMIF(Equipos!K$5:K$14,"X",Equipos!$D$5:$D$14)</f>
        <v>2</v>
      </c>
      <c r="I53" s="41" t="n">
        <f aca="false">SUMIF(Equipos!L$5:L$14,"X",Equipos!$D$5:$D$14)</f>
        <v>2</v>
      </c>
      <c r="J53" s="41" t="n">
        <f aca="false">SUMIF(Equipos!M$5:M$14,"X",Equipos!$D$5:$D$14)</f>
        <v>3</v>
      </c>
      <c r="K53" s="41" t="n">
        <f aca="false">SUMIF(Equipos!N$5:N$14,"X",Equipos!$D$5:$D$14)</f>
        <v>3</v>
      </c>
      <c r="L53" s="41" t="n">
        <f aca="false">SUMIF(Equipos!O$5:O$14,"X",Equipos!$D$5:$D$14)</f>
        <v>2</v>
      </c>
      <c r="M53" s="41" t="n">
        <f aca="false">SUMIF(Equipos!P$5:P$14,"X",Equipos!$D$5:$D$14)</f>
        <v>2</v>
      </c>
    </row>
    <row r="54" customFormat="false" ht="15" hidden="false" customHeight="false" outlineLevel="0" collapsed="false">
      <c r="A54" s="11" t="s">
        <v>929</v>
      </c>
      <c r="B54" s="41" t="n">
        <f aca="false">B49*B53</f>
        <v>615</v>
      </c>
      <c r="C54" s="41" t="n">
        <f aca="false">C49*C53</f>
        <v>165</v>
      </c>
      <c r="D54" s="41" t="n">
        <f aca="false">D49*D53</f>
        <v>60</v>
      </c>
      <c r="E54" s="41" t="n">
        <f aca="false">E49*E53</f>
        <v>121</v>
      </c>
      <c r="F54" s="41" t="n">
        <f aca="false">F49*F53</f>
        <v>22</v>
      </c>
      <c r="G54" s="41" t="n">
        <f aca="false">G49*G53</f>
        <v>27</v>
      </c>
      <c r="H54" s="41" t="n">
        <f aca="false">H49*H53</f>
        <v>18</v>
      </c>
      <c r="I54" s="41" t="n">
        <f aca="false">I49*I53</f>
        <v>6</v>
      </c>
      <c r="J54" s="41" t="n">
        <f aca="false">J49*J53</f>
        <v>33</v>
      </c>
      <c r="K54" s="41" t="n">
        <f aca="false">K49*K53</f>
        <v>27</v>
      </c>
      <c r="L54" s="41" t="n">
        <f aca="false">L49*L53</f>
        <v>18</v>
      </c>
      <c r="M54" s="41" t="n">
        <f aca="false">M49*M53</f>
        <v>6</v>
      </c>
    </row>
    <row r="55" customFormat="false" ht="15" hidden="false" customHeight="false" outlineLevel="0" collapsed="false">
      <c r="A55" s="11" t="s">
        <v>930</v>
      </c>
      <c r="B55" s="11" t="str">
        <f aca="false">IF(AND(B49&gt;=2,B53&gt;=1),"OK","Revisar")</f>
        <v>OK</v>
      </c>
      <c r="C55" s="11" t="str">
        <f aca="false">IF(AND(C49&gt;=2,C53&gt;=1),"OK","Revisar")</f>
        <v>OK</v>
      </c>
      <c r="D55" s="11" t="str">
        <f aca="false">IF(AND(D49&gt;=2,D53&gt;=1),"OK","Revisar")</f>
        <v>OK</v>
      </c>
      <c r="E55" s="11" t="str">
        <f aca="false">IF(AND(E49&gt;=2,E53&gt;=1),"OK","Revisar")</f>
        <v>OK</v>
      </c>
      <c r="F55" s="11" t="str">
        <f aca="false">IF(AND(F49&gt;=2,F53&gt;=1),"OK","Revisar")</f>
        <v>OK</v>
      </c>
      <c r="G55" s="11" t="str">
        <f aca="false">IF(AND(G49&gt;=2,G53&gt;=1),"OK","Revisar")</f>
        <v>OK</v>
      </c>
      <c r="H55" s="11" t="str">
        <f aca="false">IF(AND(H49&gt;=2,H53&gt;=1),"OK","Revisar")</f>
        <v>OK</v>
      </c>
      <c r="I55" s="11" t="str">
        <f aca="false">IF(AND(I49&gt;=2,I53&gt;=1),"OK","Revisar")</f>
        <v>OK</v>
      </c>
      <c r="J55" s="11" t="str">
        <f aca="false">IF(AND(J49&gt;=2,J53&gt;=1),"OK","Revisar")</f>
        <v>OK</v>
      </c>
      <c r="K55" s="11" t="str">
        <f aca="false">IF(AND(K49&gt;=2,K53&gt;=1),"OK","Revisar")</f>
        <v>OK</v>
      </c>
      <c r="L55" s="11" t="str">
        <f aca="false">IF(AND(L49&gt;=2,L53&gt;=1),"OK","Revisar")</f>
        <v>OK</v>
      </c>
      <c r="M55" s="11" t="str">
        <f aca="false">IF(AND(M49&gt;=2,M53&gt;=1),"OK","Revisar")</f>
        <v>OK</v>
      </c>
    </row>
    <row r="56" customFormat="false" ht="15" hidden="false" customHeight="false" outlineLevel="0" collapsed="false">
      <c r="A56" s="11" t="s">
        <v>931</v>
      </c>
      <c r="B56" s="11" t="str">
        <f aca="false">IF(B$45=1,IF(B50=COUNTIF(Analistas!$B$5:$B$24,"T1"),"OK","Revisar"),"No aplica")</f>
        <v>OK</v>
      </c>
      <c r="C56" s="11" t="str">
        <f aca="false">IF(C$45=1,IF(C50=COUNTIF(Analistas!$B$5:$B$24,"T1"),"OK","Revisar"),"No aplica")</f>
        <v>No aplica</v>
      </c>
      <c r="D56" s="11" t="str">
        <f aca="false">IF(D$45=1,IF(D50=COUNTIF(Analistas!$B$5:$B$24,"T1"),"OK","Revisar"),"No aplica")</f>
        <v>No aplica</v>
      </c>
      <c r="E56" s="11" t="str">
        <f aca="false">IF(E$45=1,IF(E50=COUNTIF(Analistas!$B$5:$B$24,"T1"),"OK","Revisar"),"No aplica")</f>
        <v>OK</v>
      </c>
      <c r="F56" s="11" t="str">
        <f aca="false">IF(F$45=1,IF(F50=COUNTIF(Analistas!$B$5:$B$24,"T1"),"OK","Revisar"),"No aplica")</f>
        <v>OK</v>
      </c>
      <c r="G56" s="11" t="str">
        <f aca="false">IF(G$45=1,IF(G50=COUNTIF(Analistas!$B$5:$B$24,"T1"),"OK","Revisar"),"No aplica")</f>
        <v>No aplica</v>
      </c>
      <c r="H56" s="11" t="str">
        <f aca="false">IF(H$45=1,IF(H50=COUNTIF(Analistas!$B$5:$B$24,"T1"),"OK","Revisar"),"No aplica")</f>
        <v>OK</v>
      </c>
      <c r="I56" s="11" t="str">
        <f aca="false">IF(I$45=1,IF(I50=COUNTIF(Analistas!$B$5:$B$24,"T1"),"OK","Revisar"),"No aplica")</f>
        <v>No aplica</v>
      </c>
      <c r="J56" s="11" t="str">
        <f aca="false">IF(J$45=1,IF(J50=COUNTIF(Analistas!$B$5:$B$24,"T1"),"OK","Revisar"),"No aplica")</f>
        <v>OK</v>
      </c>
      <c r="K56" s="11" t="str">
        <f aca="false">IF(K$45=1,IF(K50=COUNTIF(Analistas!$B$5:$B$24,"T1"),"OK","Revisar"),"No aplica")</f>
        <v>No aplica</v>
      </c>
      <c r="L56" s="11" t="str">
        <f aca="false">IF(L$45=1,IF(L50=COUNTIF(Analistas!$B$5:$B$24,"T1"),"OK","Revisar"),"No aplica")</f>
        <v>OK</v>
      </c>
      <c r="M56" s="11" t="str">
        <f aca="false">IF(M$45=1,IF(M50=COUNTIF(Analistas!$B$5:$B$24,"T1"),"OK","Revisar"),"No aplica")</f>
        <v>No aplica</v>
      </c>
    </row>
    <row r="58" customFormat="false" ht="15" hidden="false" customHeight="false" outlineLevel="0" collapsed="false">
      <c r="A58" s="5" t="s">
        <v>932</v>
      </c>
    </row>
    <row r="59" customFormat="false" ht="23.85" hidden="false" customHeight="false" outlineLevel="0" collapsed="false">
      <c r="A59" s="10" t="s">
        <v>923</v>
      </c>
      <c r="B59" s="10" t="s">
        <v>39</v>
      </c>
      <c r="C59" s="10" t="s">
        <v>933</v>
      </c>
    </row>
    <row r="60" customFormat="false" ht="15" hidden="false" customHeight="false" outlineLevel="0" collapsed="false">
      <c r="A60" s="11" t="s">
        <v>934</v>
      </c>
      <c r="B60" s="41" t="n">
        <f aca="false">SUM(Equipos!D5:D14)</f>
        <v>70</v>
      </c>
      <c r="C60" s="11" t="str">
        <f aca="false">IF(B60=B22,"OK","Revisar")</f>
        <v>OK</v>
      </c>
      <c r="D60" s="11"/>
      <c r="E60" s="11"/>
      <c r="F60" s="11"/>
      <c r="G60" s="11"/>
      <c r="H60" s="11"/>
      <c r="I60" s="11"/>
      <c r="J60" s="11"/>
    </row>
    <row r="61" customFormat="false" ht="15" hidden="false" customHeight="false" outlineLevel="0" collapsed="false">
      <c r="A61" s="11" t="s">
        <v>935</v>
      </c>
      <c r="B61" s="41" t="n">
        <f aca="false">SUMIF(Equipos!B5:B14,"HPLC",Equipos!D5:D14)</f>
        <v>41</v>
      </c>
      <c r="C61" s="11" t="str">
        <f aca="false">IF(B61&gt;=B23,"OK","Revisar")</f>
        <v>OK</v>
      </c>
      <c r="D61" s="11"/>
      <c r="E61" s="11"/>
      <c r="F61" s="11"/>
      <c r="G61" s="11"/>
      <c r="H61" s="11"/>
      <c r="I61" s="11"/>
      <c r="J61" s="11"/>
    </row>
    <row r="62" customFormat="false" ht="15" hidden="false" customHeight="false" outlineLevel="0" collapsed="false">
      <c r="A62" s="11" t="s">
        <v>936</v>
      </c>
      <c r="B62" s="41" t="n">
        <f aca="false">COUNTIF(Equipos!D5:D14,"&lt;2")</f>
        <v>0</v>
      </c>
      <c r="C62" s="11" t="str">
        <f aca="false">IF(B62=0,"OK","Revisar")</f>
        <v>OK</v>
      </c>
      <c r="D62" s="11"/>
      <c r="E62" s="11"/>
      <c r="F62" s="11"/>
      <c r="G62" s="11"/>
      <c r="H62" s="11"/>
      <c r="I62" s="11"/>
      <c r="J62" s="11"/>
    </row>
    <row r="63" customFormat="false" ht="15" hidden="false" customHeight="false" outlineLevel="0" collapsed="false">
      <c r="A63" s="11" t="s">
        <v>937</v>
      </c>
      <c r="B63" s="41" t="n">
        <f aca="false">COUNTA(Analistas!A5:A24)</f>
        <v>20</v>
      </c>
      <c r="C63" s="11" t="str">
        <f aca="false">IF(B63=B24,"OK","Revisar")</f>
        <v>OK</v>
      </c>
      <c r="D63" s="11"/>
      <c r="E63" s="11"/>
      <c r="F63" s="11"/>
      <c r="G63" s="11"/>
      <c r="H63" s="11"/>
      <c r="I63" s="11"/>
      <c r="J63" s="11"/>
    </row>
    <row r="64" customFormat="false" ht="15" hidden="false" customHeight="false" outlineLevel="0" collapsed="false">
      <c r="A64" s="11" t="s">
        <v>938</v>
      </c>
      <c r="B64" s="11" t="str">
        <f aca="false">COUNTIF(Analistas!B5:B24,"T1")&amp;" · "&amp;COUNTIF(Analistas!B5:B24,"T2")&amp;" · "&amp;COUNTIF(Analistas!B5:B24,"T3")</f>
        <v>6 · 4 · 10</v>
      </c>
      <c r="C64" s="11" t="str">
        <f aca="false">IF(AND(COUNTIF(Analistas!B5:B24,"T1")=B25,COUNTIF(Analistas!B5:B24,"T2")=B26,COUNTIF(Analistas!B5:B24,"T3")=B27),"OK","Revisar")</f>
        <v>OK</v>
      </c>
      <c r="D64" s="11"/>
      <c r="E64" s="11"/>
      <c r="F64" s="11"/>
      <c r="G64" s="11"/>
      <c r="H64" s="11"/>
      <c r="I64" s="11"/>
      <c r="J64" s="11"/>
    </row>
    <row r="65" customFormat="false" ht="15" hidden="false" customHeight="false" outlineLevel="0" collapsed="false">
      <c r="A65" s="11" t="s">
        <v>939</v>
      </c>
      <c r="B65" s="11" t="str">
        <f aca="false">COUNTIF(B55:M55,"OK")&amp;" de 12"</f>
        <v>12 de 12</v>
      </c>
      <c r="C65" s="11" t="str">
        <f aca="false">IF(COUNTIF(B55:M55,"OK")=12,"OK","Revisar")</f>
        <v>OK</v>
      </c>
      <c r="D65" s="11"/>
      <c r="E65" s="11"/>
      <c r="F65" s="11"/>
      <c r="G65" s="11"/>
      <c r="H65" s="11"/>
      <c r="I65" s="11"/>
      <c r="J65" s="11"/>
    </row>
    <row r="66" customFormat="false" ht="23.85" hidden="false" customHeight="false" outlineLevel="0" collapsed="false">
      <c r="A66" s="11" t="s">
        <v>940</v>
      </c>
      <c r="B66" s="11" t="str">
        <f aca="false">COUNTIF(B56:M56,"OK")&amp;" de "&amp;SUM(B45:M45)</f>
        <v>6 de 6</v>
      </c>
      <c r="C66" s="11" t="str">
        <f aca="false">IF(COUNTIF(B56:M56,"OK")=SUM(B45:M45),"OK","Revisar")</f>
        <v>OK</v>
      </c>
      <c r="D66" s="11"/>
      <c r="E66" s="11"/>
      <c r="F66" s="11"/>
      <c r="G66" s="11"/>
      <c r="H66" s="11"/>
      <c r="I66" s="11"/>
      <c r="J66" s="11"/>
    </row>
    <row r="67" customFormat="false" ht="15" hidden="false" customHeight="false" outlineLevel="0" collapsed="false">
      <c r="A67" s="11" t="s">
        <v>941</v>
      </c>
      <c r="B67" s="42" t="n">
        <f aca="false">SUM(Analistas!F5:Q24)/(COUNTA(Analistas!A5:A24)*12)</f>
        <v>0.483333333333333</v>
      </c>
      <c r="C67" s="11" t="str">
        <f aca="false">"Martins et al. (2023, p. 191): flexibilidad f = 0,3 y 0,6"</f>
        <v>Martins et al. (2023, p. 191): flexibilidad f = 0,3 y 0,6</v>
      </c>
      <c r="D67" s="11"/>
      <c r="E67" s="11"/>
      <c r="F67" s="11"/>
      <c r="G67" s="11"/>
      <c r="H67" s="11"/>
      <c r="I67" s="11"/>
      <c r="J67" s="11"/>
    </row>
    <row r="68" customFormat="false" ht="23.85" hidden="false" customHeight="false" outlineLevel="0" collapsed="false">
      <c r="A68" s="11" t="s">
        <v>942</v>
      </c>
      <c r="B68" s="43" t="n">
        <f aca="false">AVERAGE(B49:M49)</f>
        <v>9.66666666666667</v>
      </c>
      <c r="C68" s="11" t="str">
        <f aca="false">"TLSP: 6 empleados calificados por trabajo en promedio (Mischek y Musliu, 2021, p. 550)"</f>
        <v>TLSP: 6 empleados calificados por trabajo en promedio (Mischek y Musliu, 2021, p. 550)</v>
      </c>
      <c r="D68" s="11"/>
      <c r="E68" s="11"/>
      <c r="F68" s="11"/>
      <c r="G68" s="11"/>
      <c r="H68" s="11"/>
      <c r="I68" s="11"/>
      <c r="J68" s="11"/>
    </row>
    <row r="69" customFormat="false" ht="23.85" hidden="false" customHeight="false" outlineLevel="0" collapsed="false">
      <c r="A69" s="11" t="s">
        <v>943</v>
      </c>
      <c r="B69" s="42" t="n">
        <f aca="false">MAX(Equipos!U5:U14)</f>
        <v>0.0476414304287164</v>
      </c>
      <c r="C69" s="11" t="str">
        <f aca="false">"Sin idoneidad del sistema; Costigliola et al. (2017, p. 9019): los equipos alcanzan aun con +50 % de carga"</f>
        <v>Sin idoneidad del sistema; Costigliola et al. (2017, p. 9019): los equipos alcanzan aun con +50 % de carga</v>
      </c>
      <c r="D69" s="11"/>
      <c r="E69" s="11"/>
      <c r="F69" s="11"/>
      <c r="G69" s="11"/>
      <c r="H69" s="11"/>
      <c r="I69" s="11"/>
      <c r="J69" s="11"/>
    </row>
    <row r="70" customFormat="false" ht="23.85" hidden="false" customHeight="false" outlineLevel="0" collapsed="false">
      <c r="A70" s="11" t="s">
        <v>944</v>
      </c>
      <c r="B70" s="42" t="n">
        <f aca="false">MAX(Equipos!V5:V14)</f>
        <v>0.0714621456430746</v>
      </c>
      <c r="C70" s="11" t="str">
        <f aca="false">""</f>
        <v/>
      </c>
      <c r="D70" s="11"/>
      <c r="E70" s="11"/>
      <c r="F70" s="11"/>
      <c r="G70" s="11"/>
      <c r="H70" s="11"/>
      <c r="I70" s="11"/>
      <c r="J70" s="11"/>
    </row>
  </sheetData>
  <mergeCells count="17">
    <mergeCell ref="C22:H22"/>
    <mergeCell ref="C23:H23"/>
    <mergeCell ref="C24:H24"/>
    <mergeCell ref="C25:H25"/>
    <mergeCell ref="C26:H26"/>
    <mergeCell ref="C27:H27"/>
    <mergeCell ref="C60:J60"/>
    <mergeCell ref="C61:J61"/>
    <mergeCell ref="C62:J62"/>
    <mergeCell ref="C63:J63"/>
    <mergeCell ref="C64:J64"/>
    <mergeCell ref="C65:J65"/>
    <mergeCell ref="C66:J66"/>
    <mergeCell ref="C67:J67"/>
    <mergeCell ref="C68:J68"/>
    <mergeCell ref="C69:J69"/>
    <mergeCell ref="C70:J70"/>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38"/>
    <col collapsed="false" customWidth="true" hidden="false" outlineLevel="0" max="5" min="4" style="0" width="9"/>
    <col collapsed="false" customWidth="true" hidden="false" outlineLevel="0" max="8" min="6" style="0" width="10"/>
    <col collapsed="false" customWidth="true" hidden="false" outlineLevel="0" max="9" min="9" style="0" width="30"/>
    <col collapsed="false" customWidth="true" hidden="false" outlineLevel="0" max="10" min="10" style="0" width="40"/>
  </cols>
  <sheetData>
    <row r="1" customFormat="false" ht="17.35" hidden="false" customHeight="false" outlineLevel="0" collapsed="false">
      <c r="A1" s="1" t="s">
        <v>945</v>
      </c>
    </row>
    <row r="2" customFormat="false" ht="15" hidden="false" customHeight="false" outlineLevel="0" collapsed="false">
      <c r="A2" s="2" t="s">
        <v>946</v>
      </c>
    </row>
    <row r="4" customFormat="false" ht="23.85" hidden="false" customHeight="false" outlineLevel="0" collapsed="false">
      <c r="A4" s="10" t="s">
        <v>749</v>
      </c>
      <c r="B4" s="10" t="s">
        <v>861</v>
      </c>
      <c r="C4" s="10" t="s">
        <v>947</v>
      </c>
      <c r="D4" s="10" t="s">
        <v>948</v>
      </c>
      <c r="E4" s="10" t="s">
        <v>949</v>
      </c>
      <c r="F4" s="10" t="s">
        <v>950</v>
      </c>
      <c r="G4" s="10" t="s">
        <v>951</v>
      </c>
      <c r="H4" s="10" t="s">
        <v>952</v>
      </c>
      <c r="I4" s="10" t="s">
        <v>953</v>
      </c>
      <c r="J4" s="10" t="s">
        <v>764</v>
      </c>
    </row>
    <row r="5" customFormat="false" ht="23.85" hidden="false" customHeight="false" outlineLevel="0" collapsed="false">
      <c r="A5" s="11" t="s">
        <v>954</v>
      </c>
      <c r="B5" s="11" t="s">
        <v>866</v>
      </c>
      <c r="C5" s="11" t="s">
        <v>955</v>
      </c>
      <c r="D5" s="12" t="n">
        <v>8</v>
      </c>
      <c r="E5" s="12" t="n">
        <v>20</v>
      </c>
      <c r="F5" s="46" t="n">
        <v>0</v>
      </c>
      <c r="G5" s="46" t="n">
        <v>0</v>
      </c>
      <c r="H5" s="43" t="n">
        <f aca="false">IF(A5="L",0,IF(E5&gt;D5,E5-D5,E5+24-D5)-(G5-F5))</f>
        <v>12</v>
      </c>
      <c r="I5" s="11" t="s">
        <v>956</v>
      </c>
      <c r="J5" s="11" t="s">
        <v>957</v>
      </c>
    </row>
    <row r="6" customFormat="false" ht="23.85" hidden="false" customHeight="false" outlineLevel="0" collapsed="false">
      <c r="A6" s="11" t="s">
        <v>958</v>
      </c>
      <c r="B6" s="11" t="s">
        <v>866</v>
      </c>
      <c r="C6" s="11" t="s">
        <v>959</v>
      </c>
      <c r="D6" s="12" t="n">
        <v>20</v>
      </c>
      <c r="E6" s="12" t="n">
        <v>8</v>
      </c>
      <c r="F6" s="46" t="n">
        <v>0</v>
      </c>
      <c r="G6" s="46" t="n">
        <v>0</v>
      </c>
      <c r="H6" s="43" t="n">
        <f aca="false">IF(A6="L",0,IF(E6&gt;D6,E6-D6,E6+24-D6)-(G6-F6))</f>
        <v>12</v>
      </c>
      <c r="I6" s="11" t="s">
        <v>956</v>
      </c>
      <c r="J6" s="11" t="s">
        <v>957</v>
      </c>
    </row>
    <row r="7" customFormat="false" ht="23.85" hidden="false" customHeight="false" outlineLevel="0" collapsed="false">
      <c r="A7" s="11" t="s">
        <v>960</v>
      </c>
      <c r="B7" s="11" t="s">
        <v>877</v>
      </c>
      <c r="C7" s="11" t="s">
        <v>961</v>
      </c>
      <c r="D7" s="12" t="n">
        <v>8</v>
      </c>
      <c r="E7" s="12" t="n">
        <v>17</v>
      </c>
      <c r="F7" s="46" t="n">
        <v>12</v>
      </c>
      <c r="G7" s="46" t="n">
        <v>13</v>
      </c>
      <c r="H7" s="43" t="n">
        <f aca="false">IF(A7="L",0,IF(E7&gt;D7,E7-D7,E7+24-D7)-(G7-F7))</f>
        <v>8</v>
      </c>
      <c r="I7" s="11" t="s">
        <v>962</v>
      </c>
      <c r="J7" s="11" t="s">
        <v>957</v>
      </c>
    </row>
    <row r="8" customFormat="false" ht="23.85" hidden="false" customHeight="false" outlineLevel="0" collapsed="false">
      <c r="A8" s="11" t="s">
        <v>877</v>
      </c>
      <c r="B8" s="11" t="s">
        <v>877</v>
      </c>
      <c r="C8" s="11" t="s">
        <v>963</v>
      </c>
      <c r="D8" s="12" t="n">
        <v>17</v>
      </c>
      <c r="E8" s="12" t="n">
        <v>24</v>
      </c>
      <c r="F8" s="46" t="n">
        <v>0</v>
      </c>
      <c r="G8" s="46" t="n">
        <v>0</v>
      </c>
      <c r="H8" s="43" t="n">
        <f aca="false">IF(A8="L",0,IF(E8&gt;D8,E8-D8,E8+24-D8)-(G8-F8))</f>
        <v>7</v>
      </c>
      <c r="I8" s="11" t="s">
        <v>962</v>
      </c>
      <c r="J8" s="11" t="s">
        <v>957</v>
      </c>
    </row>
    <row r="9" customFormat="false" ht="23.85" hidden="false" customHeight="false" outlineLevel="0" collapsed="false">
      <c r="A9" s="11" t="s">
        <v>964</v>
      </c>
      <c r="B9" s="11" t="s">
        <v>885</v>
      </c>
      <c r="C9" s="11" t="s">
        <v>965</v>
      </c>
      <c r="D9" s="12" t="n">
        <v>8</v>
      </c>
      <c r="E9" s="12" t="n">
        <v>17</v>
      </c>
      <c r="F9" s="46" t="n">
        <v>12</v>
      </c>
      <c r="G9" s="46" t="n">
        <v>13</v>
      </c>
      <c r="H9" s="43" t="n">
        <f aca="false">IF(A9="L",0,IF(E9&gt;D9,E9-D9,E9+24-D9)-(G9-F9))</f>
        <v>8</v>
      </c>
      <c r="I9" s="11" t="s">
        <v>966</v>
      </c>
      <c r="J9" s="11" t="s">
        <v>957</v>
      </c>
    </row>
    <row r="10" customFormat="false" ht="23.85" hidden="false" customHeight="false" outlineLevel="0" collapsed="false">
      <c r="A10" s="11" t="s">
        <v>967</v>
      </c>
      <c r="B10" s="11" t="s">
        <v>885</v>
      </c>
      <c r="C10" s="11" t="s">
        <v>968</v>
      </c>
      <c r="D10" s="12" t="n">
        <v>8</v>
      </c>
      <c r="E10" s="12" t="n">
        <v>17</v>
      </c>
      <c r="F10" s="46" t="n">
        <v>13</v>
      </c>
      <c r="G10" s="46" t="n">
        <v>14</v>
      </c>
      <c r="H10" s="43" t="n">
        <f aca="false">IF(A10="L",0,IF(E10&gt;D10,E10-D10,E10+24-D10)-(G10-F10))</f>
        <v>8</v>
      </c>
      <c r="I10" s="11" t="s">
        <v>966</v>
      </c>
      <c r="J10" s="11" t="s">
        <v>957</v>
      </c>
    </row>
    <row r="11" customFormat="false" ht="27.2" hidden="false" customHeight="false" outlineLevel="0" collapsed="false">
      <c r="A11" s="11" t="s">
        <v>969</v>
      </c>
      <c r="B11" s="11" t="s">
        <v>1865</v>
      </c>
      <c r="C11" s="11" t="s">
        <v>970</v>
      </c>
      <c r="D11" s="11"/>
      <c r="E11" s="11"/>
      <c r="F11" s="11"/>
      <c r="G11" s="11"/>
      <c r="H11" s="43" t="n">
        <f aca="false">IF(A11="L",0,IF(E11&gt;D11,E11-D11,E11+24-D11)-(G11-F11))</f>
        <v>0</v>
      </c>
      <c r="I11" s="11" t="s">
        <v>1866</v>
      </c>
      <c r="J11" s="11" t="s">
        <v>1867</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22" min="3" style="0" width="6"/>
  </cols>
  <sheetData>
    <row r="1" customFormat="false" ht="17.35" hidden="false" customHeight="false" outlineLevel="0" collapsed="false">
      <c r="A1" s="1" t="s">
        <v>971</v>
      </c>
    </row>
    <row r="2" customFormat="false" ht="15" hidden="false" customHeight="false" outlineLevel="0" collapsed="false">
      <c r="A2" s="2" t="s">
        <v>972</v>
      </c>
    </row>
    <row r="3" customFormat="false" ht="15" hidden="false" customHeight="false" outlineLevel="0" collapsed="false">
      <c r="A3" s="17" t="s">
        <v>973</v>
      </c>
    </row>
    <row r="4" customFormat="false" ht="23.85" hidden="false" customHeight="false" outlineLevel="0" collapsed="false">
      <c r="A4" s="10" t="s">
        <v>974</v>
      </c>
      <c r="B4" s="10" t="s">
        <v>975</v>
      </c>
      <c r="C4" s="10" t="s">
        <v>865</v>
      </c>
      <c r="D4" s="10" t="s">
        <v>870</v>
      </c>
      <c r="E4" s="10" t="s">
        <v>871</v>
      </c>
      <c r="F4" s="10" t="s">
        <v>873</v>
      </c>
      <c r="G4" s="10" t="s">
        <v>874</v>
      </c>
      <c r="H4" s="10" t="s">
        <v>875</v>
      </c>
      <c r="I4" s="10" t="s">
        <v>876</v>
      </c>
      <c r="J4" s="10" t="s">
        <v>879</v>
      </c>
      <c r="K4" s="10" t="s">
        <v>880</v>
      </c>
      <c r="L4" s="10" t="s">
        <v>882</v>
      </c>
      <c r="M4" s="10" t="s">
        <v>884</v>
      </c>
      <c r="N4" s="10" t="s">
        <v>886</v>
      </c>
      <c r="O4" s="10" t="s">
        <v>887</v>
      </c>
      <c r="P4" s="10" t="s">
        <v>888</v>
      </c>
      <c r="Q4" s="10" t="s">
        <v>889</v>
      </c>
      <c r="R4" s="10" t="s">
        <v>890</v>
      </c>
      <c r="S4" s="10" t="s">
        <v>891</v>
      </c>
      <c r="T4" s="10" t="s">
        <v>892</v>
      </c>
      <c r="U4" s="10" t="s">
        <v>893</v>
      </c>
      <c r="V4" s="10" t="s">
        <v>894</v>
      </c>
    </row>
    <row r="5" customFormat="false" ht="15" hidden="false" customHeight="false" outlineLevel="0" collapsed="false">
      <c r="A5" s="18" t="n">
        <v>1</v>
      </c>
      <c r="B5" s="18" t="str">
        <f aca="false">CHOOSE(MOD(A5-1,7)+1,"lunes","martes","miércoles","jueves","viernes","sábado","domingo")</f>
        <v>lunes</v>
      </c>
      <c r="C5" s="63" t="str">
        <f aca="false">IF('Calibración de turnos'!$B$6="T1",MID("DDNNLL",MOD($A5-1+'Calibración de turnos'!$D$6,6)+1,1),IF('Calibración de turnos'!$B$6="T2",IF(MOD($A5-1,7)+1&lt;=5,IF(MOD(INT(($A5-1)/7)+'Calibración de turnos'!$D$6,2)=0,"M2","T2"),"L"),IF(MOD($A5-1,7)+1&lt;=5,IF('Calibración de turnos'!$E$6=13,"M3b","M3a"),"L")))</f>
        <v>D</v>
      </c>
      <c r="D5" s="63" t="str">
        <f aca="false">IF('Calibración de turnos'!$B$7="T1",MID("DDNNLL",MOD($A5-1+'Calibración de turnos'!$D$7,6)+1,1),IF('Calibración de turnos'!$B$7="T2",IF(MOD($A5-1,7)+1&lt;=5,IF(MOD(INT(($A5-1)/7)+'Calibración de turnos'!$D$7,2)=0,"M2","T2"),"L"),IF(MOD($A5-1,7)+1&lt;=5,IF('Calibración de turnos'!$E$7=13,"M3b","M3a"),"L")))</f>
        <v>N</v>
      </c>
      <c r="E5" s="63" t="str">
        <f aca="false">IF('Calibración de turnos'!$B$8="T1",MID("DDNNLL",MOD($A5-1+'Calibración de turnos'!$D$8,6)+1,1),IF('Calibración de turnos'!$B$8="T2",IF(MOD($A5-1,7)+1&lt;=5,IF(MOD(INT(($A5-1)/7)+'Calibración de turnos'!$D$8,2)=0,"M2","T2"),"L"),IF(MOD($A5-1,7)+1&lt;=5,IF('Calibración de turnos'!$E$8=13,"M3b","M3a"),"L")))</f>
        <v>D</v>
      </c>
      <c r="F5" s="63" t="str">
        <f aca="false">IF('Calibración de turnos'!$B$9="T1",MID("DDNNLL",MOD($A5-1+'Calibración de turnos'!$D$9,6)+1,1),IF('Calibración de turnos'!$B$9="T2",IF(MOD($A5-1,7)+1&lt;=5,IF(MOD(INT(($A5-1)/7)+'Calibración de turnos'!$D$9,2)=0,"M2","T2"),"L"),IF(MOD($A5-1,7)+1&lt;=5,IF('Calibración de turnos'!$E$9=13,"M3b","M3a"),"L")))</f>
        <v>N</v>
      </c>
      <c r="G5" s="63" t="str">
        <f aca="false">IF('Calibración de turnos'!$B$10="T1",MID("DDNNLL",MOD($A5-1+'Calibración de turnos'!$D$10,6)+1,1),IF('Calibración de turnos'!$B$10="T2",IF(MOD($A5-1,7)+1&lt;=5,IF(MOD(INT(($A5-1)/7)+'Calibración de turnos'!$D$10,2)=0,"M2","T2"),"L"),IF(MOD($A5-1,7)+1&lt;=5,IF('Calibración de turnos'!$E$10=13,"M3b","M3a"),"L")))</f>
        <v>L</v>
      </c>
      <c r="H5" s="63" t="str">
        <f aca="false">IF('Calibración de turnos'!$B$11="T1",MID("DDNNLL",MOD($A5-1+'Calibración de turnos'!$D$11,6)+1,1),IF('Calibración de turnos'!$B$11="T2",IF(MOD($A5-1,7)+1&lt;=5,IF(MOD(INT(($A5-1)/7)+'Calibración de turnos'!$D$11,2)=0,"M2","T2"),"L"),IF(MOD($A5-1,7)+1&lt;=5,IF('Calibración de turnos'!$E$11=13,"M3b","M3a"),"L")))</f>
        <v>L</v>
      </c>
      <c r="I5" s="63" t="str">
        <f aca="false">IF('Calibración de turnos'!$B$12="T1",MID("DDNNLL",MOD($A5-1+'Calibración de turnos'!$D$12,6)+1,1),IF('Calibración de turnos'!$B$12="T2",IF(MOD($A5-1,7)+1&lt;=5,IF(MOD(INT(($A5-1)/7)+'Calibración de turnos'!$D$12,2)=0,"M2","T2"),"L"),IF(MOD($A5-1,7)+1&lt;=5,IF('Calibración de turnos'!$E$12=13,"M3b","M3a"),"L")))</f>
        <v>M2</v>
      </c>
      <c r="J5" s="63" t="str">
        <f aca="false">IF('Calibración de turnos'!$B$13="T1",MID("DDNNLL",MOD($A5-1+'Calibración de turnos'!$D$13,6)+1,1),IF('Calibración de turnos'!$B$13="T2",IF(MOD($A5-1,7)+1&lt;=5,IF(MOD(INT(($A5-1)/7)+'Calibración de turnos'!$D$13,2)=0,"M2","T2"),"L"),IF(MOD($A5-1,7)+1&lt;=5,IF('Calibración de turnos'!$E$13=13,"M3b","M3a"),"L")))</f>
        <v>T2</v>
      </c>
      <c r="K5" s="63" t="str">
        <f aca="false">IF('Calibración de turnos'!$B$14="T1",MID("DDNNLL",MOD($A5-1+'Calibración de turnos'!$D$14,6)+1,1),IF('Calibración de turnos'!$B$14="T2",IF(MOD($A5-1,7)+1&lt;=5,IF(MOD(INT(($A5-1)/7)+'Calibración de turnos'!$D$14,2)=0,"M2","T2"),"L"),IF(MOD($A5-1,7)+1&lt;=5,IF('Calibración de turnos'!$E$14=13,"M3b","M3a"),"L")))</f>
        <v>M2</v>
      </c>
      <c r="L5" s="63" t="str">
        <f aca="false">IF('Calibración de turnos'!$B$15="T1",MID("DDNNLL",MOD($A5-1+'Calibración de turnos'!$D$15,6)+1,1),IF('Calibración de turnos'!$B$15="T2",IF(MOD($A5-1,7)+1&lt;=5,IF(MOD(INT(($A5-1)/7)+'Calibración de turnos'!$D$15,2)=0,"M2","T2"),"L"),IF(MOD($A5-1,7)+1&lt;=5,IF('Calibración de turnos'!$E$15=13,"M3b","M3a"),"L")))</f>
        <v>T2</v>
      </c>
      <c r="M5" s="63" t="str">
        <f aca="false">IF('Calibración de turnos'!$B$16="T1",MID("DDNNLL",MOD($A5-1+'Calibración de turnos'!$D$16,6)+1,1),IF('Calibración de turnos'!$B$16="T2",IF(MOD($A5-1,7)+1&lt;=5,IF(MOD(INT(($A5-1)/7)+'Calibración de turnos'!$D$16,2)=0,"M2","T2"),"L"),IF(MOD($A5-1,7)+1&lt;=5,IF('Calibración de turnos'!$E$16=13,"M3b","M3a"),"L")))</f>
        <v>M3a</v>
      </c>
      <c r="N5" s="63" t="str">
        <f aca="false">IF('Calibración de turnos'!$B$17="T1",MID("DDNNLL",MOD($A5-1+'Calibración de turnos'!$D$17,6)+1,1),IF('Calibración de turnos'!$B$17="T2",IF(MOD($A5-1,7)+1&lt;=5,IF(MOD(INT(($A5-1)/7)+'Calibración de turnos'!$D$17,2)=0,"M2","T2"),"L"),IF(MOD($A5-1,7)+1&lt;=5,IF('Calibración de turnos'!$E$17=13,"M3b","M3a"),"L")))</f>
        <v>M3a</v>
      </c>
      <c r="O5" s="63" t="str">
        <f aca="false">IF('Calibración de turnos'!$B$18="T1",MID("DDNNLL",MOD($A5-1+'Calibración de turnos'!$D$18,6)+1,1),IF('Calibración de turnos'!$B$18="T2",IF(MOD($A5-1,7)+1&lt;=5,IF(MOD(INT(($A5-1)/7)+'Calibración de turnos'!$D$18,2)=0,"M2","T2"),"L"),IF(MOD($A5-1,7)+1&lt;=5,IF('Calibración de turnos'!$E$18=13,"M3b","M3a"),"L")))</f>
        <v>M3b</v>
      </c>
      <c r="P5" s="63" t="str">
        <f aca="false">IF('Calibración de turnos'!$B$19="T1",MID("DDNNLL",MOD($A5-1+'Calibración de turnos'!$D$19,6)+1,1),IF('Calibración de turnos'!$B$19="T2",IF(MOD($A5-1,7)+1&lt;=5,IF(MOD(INT(($A5-1)/7)+'Calibración de turnos'!$D$19,2)=0,"M2","T2"),"L"),IF(MOD($A5-1,7)+1&lt;=5,IF('Calibración de turnos'!$E$19=13,"M3b","M3a"),"L")))</f>
        <v>M3a</v>
      </c>
      <c r="Q5" s="63" t="str">
        <f aca="false">IF('Calibración de turnos'!$B$20="T1",MID("DDNNLL",MOD($A5-1+'Calibración de turnos'!$D$20,6)+1,1),IF('Calibración de turnos'!$B$20="T2",IF(MOD($A5-1,7)+1&lt;=5,IF(MOD(INT(($A5-1)/7)+'Calibración de turnos'!$D$20,2)=0,"M2","T2"),"L"),IF(MOD($A5-1,7)+1&lt;=5,IF('Calibración de turnos'!$E$20=13,"M3b","M3a"),"L")))</f>
        <v>M3b</v>
      </c>
      <c r="R5" s="63" t="str">
        <f aca="false">IF('Calibración de turnos'!$B$21="T1",MID("DDNNLL",MOD($A5-1+'Calibración de turnos'!$D$21,6)+1,1),IF('Calibración de turnos'!$B$21="T2",IF(MOD($A5-1,7)+1&lt;=5,IF(MOD(INT(($A5-1)/7)+'Calibración de turnos'!$D$21,2)=0,"M2","T2"),"L"),IF(MOD($A5-1,7)+1&lt;=5,IF('Calibración de turnos'!$E$21=13,"M3b","M3a"),"L")))</f>
        <v>M3b</v>
      </c>
      <c r="S5" s="63" t="str">
        <f aca="false">IF('Calibración de turnos'!$B$22="T1",MID("DDNNLL",MOD($A5-1+'Calibración de turnos'!$D$22,6)+1,1),IF('Calibración de turnos'!$B$22="T2",IF(MOD($A5-1,7)+1&lt;=5,IF(MOD(INT(($A5-1)/7)+'Calibración de turnos'!$D$22,2)=0,"M2","T2"),"L"),IF(MOD($A5-1,7)+1&lt;=5,IF('Calibración de turnos'!$E$22=13,"M3b","M3a"),"L")))</f>
        <v>M3a</v>
      </c>
      <c r="T5" s="63" t="str">
        <f aca="false">IF('Calibración de turnos'!$B$23="T1",MID("DDNNLL",MOD($A5-1+'Calibración de turnos'!$D$23,6)+1,1),IF('Calibración de turnos'!$B$23="T2",IF(MOD($A5-1,7)+1&lt;=5,IF(MOD(INT(($A5-1)/7)+'Calibración de turnos'!$D$23,2)=0,"M2","T2"),"L"),IF(MOD($A5-1,7)+1&lt;=5,IF('Calibración de turnos'!$E$23=13,"M3b","M3a"),"L")))</f>
        <v>M3b</v>
      </c>
      <c r="U5" s="63" t="str">
        <f aca="false">IF('Calibración de turnos'!$B$24="T1",MID("DDNNLL",MOD($A5-1+'Calibración de turnos'!$D$24,6)+1,1),IF('Calibración de turnos'!$B$24="T2",IF(MOD($A5-1,7)+1&lt;=5,IF(MOD(INT(($A5-1)/7)+'Calibración de turnos'!$D$24,2)=0,"M2","T2"),"L"),IF(MOD($A5-1,7)+1&lt;=5,IF('Calibración de turnos'!$E$24=13,"M3b","M3a"),"L")))</f>
        <v>M3a</v>
      </c>
      <c r="V5" s="63" t="str">
        <f aca="false">IF('Calibración de turnos'!$B$25="T1",MID("DDNNLL",MOD($A5-1+'Calibración de turnos'!$D$25,6)+1,1),IF('Calibración de turnos'!$B$25="T2",IF(MOD($A5-1,7)+1&lt;=5,IF(MOD(INT(($A5-1)/7)+'Calibración de turnos'!$D$25,2)=0,"M2","T2"),"L"),IF(MOD($A5-1,7)+1&lt;=5,IF('Calibración de turnos'!$E$25=13,"M3b","M3a"),"L")))</f>
        <v>M3b</v>
      </c>
    </row>
    <row r="6" customFormat="false" ht="15" hidden="false" customHeight="false" outlineLevel="0" collapsed="false">
      <c r="A6" s="18" t="n">
        <v>2</v>
      </c>
      <c r="B6" s="18" t="str">
        <f aca="false">CHOOSE(MOD(A6-1,7)+1,"lunes","martes","miércoles","jueves","viernes","sábado","domingo")</f>
        <v>martes</v>
      </c>
      <c r="C6" s="63" t="str">
        <f aca="false">IF('Calibración de turnos'!$B$6="T1",MID("DDNNLL",MOD($A6-1+'Calibración de turnos'!$D$6,6)+1,1),IF('Calibración de turnos'!$B$6="T2",IF(MOD($A6-1,7)+1&lt;=5,IF(MOD(INT(($A6-1)/7)+'Calibración de turnos'!$D$6,2)=0,"M2","T2"),"L"),IF(MOD($A6-1,7)+1&lt;=5,IF('Calibración de turnos'!$E$6=13,"M3b","M3a"),"L")))</f>
        <v>D</v>
      </c>
      <c r="D6" s="63" t="str">
        <f aca="false">IF('Calibración de turnos'!$B$7="T1",MID("DDNNLL",MOD($A6-1+'Calibración de turnos'!$D$7,6)+1,1),IF('Calibración de turnos'!$B$7="T2",IF(MOD($A6-1,7)+1&lt;=5,IF(MOD(INT(($A6-1)/7)+'Calibración de turnos'!$D$7,2)=0,"M2","T2"),"L"),IF(MOD($A6-1,7)+1&lt;=5,IF('Calibración de turnos'!$E$7=13,"M3b","M3a"),"L")))</f>
        <v>N</v>
      </c>
      <c r="E6" s="63" t="str">
        <f aca="false">IF('Calibración de turnos'!$B$8="T1",MID("DDNNLL",MOD($A6-1+'Calibración de turnos'!$D$8,6)+1,1),IF('Calibración de turnos'!$B$8="T2",IF(MOD($A6-1,7)+1&lt;=5,IF(MOD(INT(($A6-1)/7)+'Calibración de turnos'!$D$8,2)=0,"M2","T2"),"L"),IF(MOD($A6-1,7)+1&lt;=5,IF('Calibración de turnos'!$E$8=13,"M3b","M3a"),"L")))</f>
        <v>D</v>
      </c>
      <c r="F6" s="63" t="str">
        <f aca="false">IF('Calibración de turnos'!$B$9="T1",MID("DDNNLL",MOD($A6-1+'Calibración de turnos'!$D$9,6)+1,1),IF('Calibración de turnos'!$B$9="T2",IF(MOD($A6-1,7)+1&lt;=5,IF(MOD(INT(($A6-1)/7)+'Calibración de turnos'!$D$9,2)=0,"M2","T2"),"L"),IF(MOD($A6-1,7)+1&lt;=5,IF('Calibración de turnos'!$E$9=13,"M3b","M3a"),"L")))</f>
        <v>N</v>
      </c>
      <c r="G6" s="63" t="str">
        <f aca="false">IF('Calibración de turnos'!$B$10="T1",MID("DDNNLL",MOD($A6-1+'Calibración de turnos'!$D$10,6)+1,1),IF('Calibración de turnos'!$B$10="T2",IF(MOD($A6-1,7)+1&lt;=5,IF(MOD(INT(($A6-1)/7)+'Calibración de turnos'!$D$10,2)=0,"M2","T2"),"L"),IF(MOD($A6-1,7)+1&lt;=5,IF('Calibración de turnos'!$E$10=13,"M3b","M3a"),"L")))</f>
        <v>L</v>
      </c>
      <c r="H6" s="63" t="str">
        <f aca="false">IF('Calibración de turnos'!$B$11="T1",MID("DDNNLL",MOD($A6-1+'Calibración de turnos'!$D$11,6)+1,1),IF('Calibración de turnos'!$B$11="T2",IF(MOD($A6-1,7)+1&lt;=5,IF(MOD(INT(($A6-1)/7)+'Calibración de turnos'!$D$11,2)=0,"M2","T2"),"L"),IF(MOD($A6-1,7)+1&lt;=5,IF('Calibración de turnos'!$E$11=13,"M3b","M3a"),"L")))</f>
        <v>L</v>
      </c>
      <c r="I6" s="63" t="str">
        <f aca="false">IF('Calibración de turnos'!$B$12="T1",MID("DDNNLL",MOD($A6-1+'Calibración de turnos'!$D$12,6)+1,1),IF('Calibración de turnos'!$B$12="T2",IF(MOD($A6-1,7)+1&lt;=5,IF(MOD(INT(($A6-1)/7)+'Calibración de turnos'!$D$12,2)=0,"M2","T2"),"L"),IF(MOD($A6-1,7)+1&lt;=5,IF('Calibración de turnos'!$E$12=13,"M3b","M3a"),"L")))</f>
        <v>M2</v>
      </c>
      <c r="J6" s="63" t="str">
        <f aca="false">IF('Calibración de turnos'!$B$13="T1",MID("DDNNLL",MOD($A6-1+'Calibración de turnos'!$D$13,6)+1,1),IF('Calibración de turnos'!$B$13="T2",IF(MOD($A6-1,7)+1&lt;=5,IF(MOD(INT(($A6-1)/7)+'Calibración de turnos'!$D$13,2)=0,"M2","T2"),"L"),IF(MOD($A6-1,7)+1&lt;=5,IF('Calibración de turnos'!$E$13=13,"M3b","M3a"),"L")))</f>
        <v>T2</v>
      </c>
      <c r="K6" s="63" t="str">
        <f aca="false">IF('Calibración de turnos'!$B$14="T1",MID("DDNNLL",MOD($A6-1+'Calibración de turnos'!$D$14,6)+1,1),IF('Calibración de turnos'!$B$14="T2",IF(MOD($A6-1,7)+1&lt;=5,IF(MOD(INT(($A6-1)/7)+'Calibración de turnos'!$D$14,2)=0,"M2","T2"),"L"),IF(MOD($A6-1,7)+1&lt;=5,IF('Calibración de turnos'!$E$14=13,"M3b","M3a"),"L")))</f>
        <v>M2</v>
      </c>
      <c r="L6" s="63" t="str">
        <f aca="false">IF('Calibración de turnos'!$B$15="T1",MID("DDNNLL",MOD($A6-1+'Calibración de turnos'!$D$15,6)+1,1),IF('Calibración de turnos'!$B$15="T2",IF(MOD($A6-1,7)+1&lt;=5,IF(MOD(INT(($A6-1)/7)+'Calibración de turnos'!$D$15,2)=0,"M2","T2"),"L"),IF(MOD($A6-1,7)+1&lt;=5,IF('Calibración de turnos'!$E$15=13,"M3b","M3a"),"L")))</f>
        <v>T2</v>
      </c>
      <c r="M6" s="63" t="str">
        <f aca="false">IF('Calibración de turnos'!$B$16="T1",MID("DDNNLL",MOD($A6-1+'Calibración de turnos'!$D$16,6)+1,1),IF('Calibración de turnos'!$B$16="T2",IF(MOD($A6-1,7)+1&lt;=5,IF(MOD(INT(($A6-1)/7)+'Calibración de turnos'!$D$16,2)=0,"M2","T2"),"L"),IF(MOD($A6-1,7)+1&lt;=5,IF('Calibración de turnos'!$E$16=13,"M3b","M3a"),"L")))</f>
        <v>M3a</v>
      </c>
      <c r="N6" s="63" t="str">
        <f aca="false">IF('Calibración de turnos'!$B$17="T1",MID("DDNNLL",MOD($A6-1+'Calibración de turnos'!$D$17,6)+1,1),IF('Calibración de turnos'!$B$17="T2",IF(MOD($A6-1,7)+1&lt;=5,IF(MOD(INT(($A6-1)/7)+'Calibración de turnos'!$D$17,2)=0,"M2","T2"),"L"),IF(MOD($A6-1,7)+1&lt;=5,IF('Calibración de turnos'!$E$17=13,"M3b","M3a"),"L")))</f>
        <v>M3a</v>
      </c>
      <c r="O6" s="63" t="str">
        <f aca="false">IF('Calibración de turnos'!$B$18="T1",MID("DDNNLL",MOD($A6-1+'Calibración de turnos'!$D$18,6)+1,1),IF('Calibración de turnos'!$B$18="T2",IF(MOD($A6-1,7)+1&lt;=5,IF(MOD(INT(($A6-1)/7)+'Calibración de turnos'!$D$18,2)=0,"M2","T2"),"L"),IF(MOD($A6-1,7)+1&lt;=5,IF('Calibración de turnos'!$E$18=13,"M3b","M3a"),"L")))</f>
        <v>M3b</v>
      </c>
      <c r="P6" s="63" t="str">
        <f aca="false">IF('Calibración de turnos'!$B$19="T1",MID("DDNNLL",MOD($A6-1+'Calibración de turnos'!$D$19,6)+1,1),IF('Calibración de turnos'!$B$19="T2",IF(MOD($A6-1,7)+1&lt;=5,IF(MOD(INT(($A6-1)/7)+'Calibración de turnos'!$D$19,2)=0,"M2","T2"),"L"),IF(MOD($A6-1,7)+1&lt;=5,IF('Calibración de turnos'!$E$19=13,"M3b","M3a"),"L")))</f>
        <v>M3a</v>
      </c>
      <c r="Q6" s="63" t="str">
        <f aca="false">IF('Calibración de turnos'!$B$20="T1",MID("DDNNLL",MOD($A6-1+'Calibración de turnos'!$D$20,6)+1,1),IF('Calibración de turnos'!$B$20="T2",IF(MOD($A6-1,7)+1&lt;=5,IF(MOD(INT(($A6-1)/7)+'Calibración de turnos'!$D$20,2)=0,"M2","T2"),"L"),IF(MOD($A6-1,7)+1&lt;=5,IF('Calibración de turnos'!$E$20=13,"M3b","M3a"),"L")))</f>
        <v>M3b</v>
      </c>
      <c r="R6" s="63" t="str">
        <f aca="false">IF('Calibración de turnos'!$B$21="T1",MID("DDNNLL",MOD($A6-1+'Calibración de turnos'!$D$21,6)+1,1),IF('Calibración de turnos'!$B$21="T2",IF(MOD($A6-1,7)+1&lt;=5,IF(MOD(INT(($A6-1)/7)+'Calibración de turnos'!$D$21,2)=0,"M2","T2"),"L"),IF(MOD($A6-1,7)+1&lt;=5,IF('Calibración de turnos'!$E$21=13,"M3b","M3a"),"L")))</f>
        <v>M3b</v>
      </c>
      <c r="S6" s="63" t="str">
        <f aca="false">IF('Calibración de turnos'!$B$22="T1",MID("DDNNLL",MOD($A6-1+'Calibración de turnos'!$D$22,6)+1,1),IF('Calibración de turnos'!$B$22="T2",IF(MOD($A6-1,7)+1&lt;=5,IF(MOD(INT(($A6-1)/7)+'Calibración de turnos'!$D$22,2)=0,"M2","T2"),"L"),IF(MOD($A6-1,7)+1&lt;=5,IF('Calibración de turnos'!$E$22=13,"M3b","M3a"),"L")))</f>
        <v>M3a</v>
      </c>
      <c r="T6" s="63" t="str">
        <f aca="false">IF('Calibración de turnos'!$B$23="T1",MID("DDNNLL",MOD($A6-1+'Calibración de turnos'!$D$23,6)+1,1),IF('Calibración de turnos'!$B$23="T2",IF(MOD($A6-1,7)+1&lt;=5,IF(MOD(INT(($A6-1)/7)+'Calibración de turnos'!$D$23,2)=0,"M2","T2"),"L"),IF(MOD($A6-1,7)+1&lt;=5,IF('Calibración de turnos'!$E$23=13,"M3b","M3a"),"L")))</f>
        <v>M3b</v>
      </c>
      <c r="U6" s="63" t="str">
        <f aca="false">IF('Calibración de turnos'!$B$24="T1",MID("DDNNLL",MOD($A6-1+'Calibración de turnos'!$D$24,6)+1,1),IF('Calibración de turnos'!$B$24="T2",IF(MOD($A6-1,7)+1&lt;=5,IF(MOD(INT(($A6-1)/7)+'Calibración de turnos'!$D$24,2)=0,"M2","T2"),"L"),IF(MOD($A6-1,7)+1&lt;=5,IF('Calibración de turnos'!$E$24=13,"M3b","M3a"),"L")))</f>
        <v>M3a</v>
      </c>
      <c r="V6" s="63" t="str">
        <f aca="false">IF('Calibración de turnos'!$B$25="T1",MID("DDNNLL",MOD($A6-1+'Calibración de turnos'!$D$25,6)+1,1),IF('Calibración de turnos'!$B$25="T2",IF(MOD($A6-1,7)+1&lt;=5,IF(MOD(INT(($A6-1)/7)+'Calibración de turnos'!$D$25,2)=0,"M2","T2"),"L"),IF(MOD($A6-1,7)+1&lt;=5,IF('Calibración de turnos'!$E$25=13,"M3b","M3a"),"L")))</f>
        <v>M3b</v>
      </c>
    </row>
    <row r="7" customFormat="false" ht="15" hidden="false" customHeight="false" outlineLevel="0" collapsed="false">
      <c r="A7" s="18" t="n">
        <v>3</v>
      </c>
      <c r="B7" s="18" t="str">
        <f aca="false">CHOOSE(MOD(A7-1,7)+1,"lunes","martes","miércoles","jueves","viernes","sábado","domingo")</f>
        <v>miércoles</v>
      </c>
      <c r="C7" s="63" t="str">
        <f aca="false">IF('Calibración de turnos'!$B$6="T1",MID("DDNNLL",MOD($A7-1+'Calibración de turnos'!$D$6,6)+1,1),IF('Calibración de turnos'!$B$6="T2",IF(MOD($A7-1,7)+1&lt;=5,IF(MOD(INT(($A7-1)/7)+'Calibración de turnos'!$D$6,2)=0,"M2","T2"),"L"),IF(MOD($A7-1,7)+1&lt;=5,IF('Calibración de turnos'!$E$6=13,"M3b","M3a"),"L")))</f>
        <v>N</v>
      </c>
      <c r="D7" s="63" t="str">
        <f aca="false">IF('Calibración de turnos'!$B$7="T1",MID("DDNNLL",MOD($A7-1+'Calibración de turnos'!$D$7,6)+1,1),IF('Calibración de turnos'!$B$7="T2",IF(MOD($A7-1,7)+1&lt;=5,IF(MOD(INT(($A7-1)/7)+'Calibración de turnos'!$D$7,2)=0,"M2","T2"),"L"),IF(MOD($A7-1,7)+1&lt;=5,IF('Calibración de turnos'!$E$7=13,"M3b","M3a"),"L")))</f>
        <v>L</v>
      </c>
      <c r="E7" s="63" t="str">
        <f aca="false">IF('Calibración de turnos'!$B$8="T1",MID("DDNNLL",MOD($A7-1+'Calibración de turnos'!$D$8,6)+1,1),IF('Calibración de turnos'!$B$8="T2",IF(MOD($A7-1,7)+1&lt;=5,IF(MOD(INT(($A7-1)/7)+'Calibración de turnos'!$D$8,2)=0,"M2","T2"),"L"),IF(MOD($A7-1,7)+1&lt;=5,IF('Calibración de turnos'!$E$8=13,"M3b","M3a"),"L")))</f>
        <v>N</v>
      </c>
      <c r="F7" s="63" t="str">
        <f aca="false">IF('Calibración de turnos'!$B$9="T1",MID("DDNNLL",MOD($A7-1+'Calibración de turnos'!$D$9,6)+1,1),IF('Calibración de turnos'!$B$9="T2",IF(MOD($A7-1,7)+1&lt;=5,IF(MOD(INT(($A7-1)/7)+'Calibración de turnos'!$D$9,2)=0,"M2","T2"),"L"),IF(MOD($A7-1,7)+1&lt;=5,IF('Calibración de turnos'!$E$9=13,"M3b","M3a"),"L")))</f>
        <v>L</v>
      </c>
      <c r="G7" s="63" t="str">
        <f aca="false">IF('Calibración de turnos'!$B$10="T1",MID("DDNNLL",MOD($A7-1+'Calibración de turnos'!$D$10,6)+1,1),IF('Calibración de turnos'!$B$10="T2",IF(MOD($A7-1,7)+1&lt;=5,IF(MOD(INT(($A7-1)/7)+'Calibración de turnos'!$D$10,2)=0,"M2","T2"),"L"),IF(MOD($A7-1,7)+1&lt;=5,IF('Calibración de turnos'!$E$10=13,"M3b","M3a"),"L")))</f>
        <v>D</v>
      </c>
      <c r="H7" s="63" t="str">
        <f aca="false">IF('Calibración de turnos'!$B$11="T1",MID("DDNNLL",MOD($A7-1+'Calibración de turnos'!$D$11,6)+1,1),IF('Calibración de turnos'!$B$11="T2",IF(MOD($A7-1,7)+1&lt;=5,IF(MOD(INT(($A7-1)/7)+'Calibración de turnos'!$D$11,2)=0,"M2","T2"),"L"),IF(MOD($A7-1,7)+1&lt;=5,IF('Calibración de turnos'!$E$11=13,"M3b","M3a"),"L")))</f>
        <v>D</v>
      </c>
      <c r="I7" s="63" t="str">
        <f aca="false">IF('Calibración de turnos'!$B$12="T1",MID("DDNNLL",MOD($A7-1+'Calibración de turnos'!$D$12,6)+1,1),IF('Calibración de turnos'!$B$12="T2",IF(MOD($A7-1,7)+1&lt;=5,IF(MOD(INT(($A7-1)/7)+'Calibración de turnos'!$D$12,2)=0,"M2","T2"),"L"),IF(MOD($A7-1,7)+1&lt;=5,IF('Calibración de turnos'!$E$12=13,"M3b","M3a"),"L")))</f>
        <v>M2</v>
      </c>
      <c r="J7" s="63" t="str">
        <f aca="false">IF('Calibración de turnos'!$B$13="T1",MID("DDNNLL",MOD($A7-1+'Calibración de turnos'!$D$13,6)+1,1),IF('Calibración de turnos'!$B$13="T2",IF(MOD($A7-1,7)+1&lt;=5,IF(MOD(INT(($A7-1)/7)+'Calibración de turnos'!$D$13,2)=0,"M2","T2"),"L"),IF(MOD($A7-1,7)+1&lt;=5,IF('Calibración de turnos'!$E$13=13,"M3b","M3a"),"L")))</f>
        <v>T2</v>
      </c>
      <c r="K7" s="63" t="str">
        <f aca="false">IF('Calibración de turnos'!$B$14="T1",MID("DDNNLL",MOD($A7-1+'Calibración de turnos'!$D$14,6)+1,1),IF('Calibración de turnos'!$B$14="T2",IF(MOD($A7-1,7)+1&lt;=5,IF(MOD(INT(($A7-1)/7)+'Calibración de turnos'!$D$14,2)=0,"M2","T2"),"L"),IF(MOD($A7-1,7)+1&lt;=5,IF('Calibración de turnos'!$E$14=13,"M3b","M3a"),"L")))</f>
        <v>M2</v>
      </c>
      <c r="L7" s="63" t="str">
        <f aca="false">IF('Calibración de turnos'!$B$15="T1",MID("DDNNLL",MOD($A7-1+'Calibración de turnos'!$D$15,6)+1,1),IF('Calibración de turnos'!$B$15="T2",IF(MOD($A7-1,7)+1&lt;=5,IF(MOD(INT(($A7-1)/7)+'Calibración de turnos'!$D$15,2)=0,"M2","T2"),"L"),IF(MOD($A7-1,7)+1&lt;=5,IF('Calibración de turnos'!$E$15=13,"M3b","M3a"),"L")))</f>
        <v>T2</v>
      </c>
      <c r="M7" s="63" t="str">
        <f aca="false">IF('Calibración de turnos'!$B$16="T1",MID("DDNNLL",MOD($A7-1+'Calibración de turnos'!$D$16,6)+1,1),IF('Calibración de turnos'!$B$16="T2",IF(MOD($A7-1,7)+1&lt;=5,IF(MOD(INT(($A7-1)/7)+'Calibración de turnos'!$D$16,2)=0,"M2","T2"),"L"),IF(MOD($A7-1,7)+1&lt;=5,IF('Calibración de turnos'!$E$16=13,"M3b","M3a"),"L")))</f>
        <v>M3a</v>
      </c>
      <c r="N7" s="63" t="str">
        <f aca="false">IF('Calibración de turnos'!$B$17="T1",MID("DDNNLL",MOD($A7-1+'Calibración de turnos'!$D$17,6)+1,1),IF('Calibración de turnos'!$B$17="T2",IF(MOD($A7-1,7)+1&lt;=5,IF(MOD(INT(($A7-1)/7)+'Calibración de turnos'!$D$17,2)=0,"M2","T2"),"L"),IF(MOD($A7-1,7)+1&lt;=5,IF('Calibración de turnos'!$E$17=13,"M3b","M3a"),"L")))</f>
        <v>M3a</v>
      </c>
      <c r="O7" s="63" t="str">
        <f aca="false">IF('Calibración de turnos'!$B$18="T1",MID("DDNNLL",MOD($A7-1+'Calibración de turnos'!$D$18,6)+1,1),IF('Calibración de turnos'!$B$18="T2",IF(MOD($A7-1,7)+1&lt;=5,IF(MOD(INT(($A7-1)/7)+'Calibración de turnos'!$D$18,2)=0,"M2","T2"),"L"),IF(MOD($A7-1,7)+1&lt;=5,IF('Calibración de turnos'!$E$18=13,"M3b","M3a"),"L")))</f>
        <v>M3b</v>
      </c>
      <c r="P7" s="63" t="str">
        <f aca="false">IF('Calibración de turnos'!$B$19="T1",MID("DDNNLL",MOD($A7-1+'Calibración de turnos'!$D$19,6)+1,1),IF('Calibración de turnos'!$B$19="T2",IF(MOD($A7-1,7)+1&lt;=5,IF(MOD(INT(($A7-1)/7)+'Calibración de turnos'!$D$19,2)=0,"M2","T2"),"L"),IF(MOD($A7-1,7)+1&lt;=5,IF('Calibración de turnos'!$E$19=13,"M3b","M3a"),"L")))</f>
        <v>M3a</v>
      </c>
      <c r="Q7" s="63" t="str">
        <f aca="false">IF('Calibración de turnos'!$B$20="T1",MID("DDNNLL",MOD($A7-1+'Calibración de turnos'!$D$20,6)+1,1),IF('Calibración de turnos'!$B$20="T2",IF(MOD($A7-1,7)+1&lt;=5,IF(MOD(INT(($A7-1)/7)+'Calibración de turnos'!$D$20,2)=0,"M2","T2"),"L"),IF(MOD($A7-1,7)+1&lt;=5,IF('Calibración de turnos'!$E$20=13,"M3b","M3a"),"L")))</f>
        <v>M3b</v>
      </c>
      <c r="R7" s="63" t="str">
        <f aca="false">IF('Calibración de turnos'!$B$21="T1",MID("DDNNLL",MOD($A7-1+'Calibración de turnos'!$D$21,6)+1,1),IF('Calibración de turnos'!$B$21="T2",IF(MOD($A7-1,7)+1&lt;=5,IF(MOD(INT(($A7-1)/7)+'Calibración de turnos'!$D$21,2)=0,"M2","T2"),"L"),IF(MOD($A7-1,7)+1&lt;=5,IF('Calibración de turnos'!$E$21=13,"M3b","M3a"),"L")))</f>
        <v>M3b</v>
      </c>
      <c r="S7" s="63" t="str">
        <f aca="false">IF('Calibración de turnos'!$B$22="T1",MID("DDNNLL",MOD($A7-1+'Calibración de turnos'!$D$22,6)+1,1),IF('Calibración de turnos'!$B$22="T2",IF(MOD($A7-1,7)+1&lt;=5,IF(MOD(INT(($A7-1)/7)+'Calibración de turnos'!$D$22,2)=0,"M2","T2"),"L"),IF(MOD($A7-1,7)+1&lt;=5,IF('Calibración de turnos'!$E$22=13,"M3b","M3a"),"L")))</f>
        <v>M3a</v>
      </c>
      <c r="T7" s="63" t="str">
        <f aca="false">IF('Calibración de turnos'!$B$23="T1",MID("DDNNLL",MOD($A7-1+'Calibración de turnos'!$D$23,6)+1,1),IF('Calibración de turnos'!$B$23="T2",IF(MOD($A7-1,7)+1&lt;=5,IF(MOD(INT(($A7-1)/7)+'Calibración de turnos'!$D$23,2)=0,"M2","T2"),"L"),IF(MOD($A7-1,7)+1&lt;=5,IF('Calibración de turnos'!$E$23=13,"M3b","M3a"),"L")))</f>
        <v>M3b</v>
      </c>
      <c r="U7" s="63" t="str">
        <f aca="false">IF('Calibración de turnos'!$B$24="T1",MID("DDNNLL",MOD($A7-1+'Calibración de turnos'!$D$24,6)+1,1),IF('Calibración de turnos'!$B$24="T2",IF(MOD($A7-1,7)+1&lt;=5,IF(MOD(INT(($A7-1)/7)+'Calibración de turnos'!$D$24,2)=0,"M2","T2"),"L"),IF(MOD($A7-1,7)+1&lt;=5,IF('Calibración de turnos'!$E$24=13,"M3b","M3a"),"L")))</f>
        <v>M3a</v>
      </c>
      <c r="V7" s="63" t="str">
        <f aca="false">IF('Calibración de turnos'!$B$25="T1",MID("DDNNLL",MOD($A7-1+'Calibración de turnos'!$D$25,6)+1,1),IF('Calibración de turnos'!$B$25="T2",IF(MOD($A7-1,7)+1&lt;=5,IF(MOD(INT(($A7-1)/7)+'Calibración de turnos'!$D$25,2)=0,"M2","T2"),"L"),IF(MOD($A7-1,7)+1&lt;=5,IF('Calibración de turnos'!$E$25=13,"M3b","M3a"),"L")))</f>
        <v>M3b</v>
      </c>
    </row>
    <row r="8" customFormat="false" ht="15" hidden="false" customHeight="false" outlineLevel="0" collapsed="false">
      <c r="A8" s="18" t="n">
        <v>4</v>
      </c>
      <c r="B8" s="18" t="str">
        <f aca="false">CHOOSE(MOD(A8-1,7)+1,"lunes","martes","miércoles","jueves","viernes","sábado","domingo")</f>
        <v>jueves</v>
      </c>
      <c r="C8" s="63" t="str">
        <f aca="false">IF('Calibración de turnos'!$B$6="T1",MID("DDNNLL",MOD($A8-1+'Calibración de turnos'!$D$6,6)+1,1),IF('Calibración de turnos'!$B$6="T2",IF(MOD($A8-1,7)+1&lt;=5,IF(MOD(INT(($A8-1)/7)+'Calibración de turnos'!$D$6,2)=0,"M2","T2"),"L"),IF(MOD($A8-1,7)+1&lt;=5,IF('Calibración de turnos'!$E$6=13,"M3b","M3a"),"L")))</f>
        <v>N</v>
      </c>
      <c r="D8" s="63" t="str">
        <f aca="false">IF('Calibración de turnos'!$B$7="T1",MID("DDNNLL",MOD($A8-1+'Calibración de turnos'!$D$7,6)+1,1),IF('Calibración de turnos'!$B$7="T2",IF(MOD($A8-1,7)+1&lt;=5,IF(MOD(INT(($A8-1)/7)+'Calibración de turnos'!$D$7,2)=0,"M2","T2"),"L"),IF(MOD($A8-1,7)+1&lt;=5,IF('Calibración de turnos'!$E$7=13,"M3b","M3a"),"L")))</f>
        <v>L</v>
      </c>
      <c r="E8" s="63" t="str">
        <f aca="false">IF('Calibración de turnos'!$B$8="T1",MID("DDNNLL",MOD($A8-1+'Calibración de turnos'!$D$8,6)+1,1),IF('Calibración de turnos'!$B$8="T2",IF(MOD($A8-1,7)+1&lt;=5,IF(MOD(INT(($A8-1)/7)+'Calibración de turnos'!$D$8,2)=0,"M2","T2"),"L"),IF(MOD($A8-1,7)+1&lt;=5,IF('Calibración de turnos'!$E$8=13,"M3b","M3a"),"L")))</f>
        <v>N</v>
      </c>
      <c r="F8" s="63" t="str">
        <f aca="false">IF('Calibración de turnos'!$B$9="T1",MID("DDNNLL",MOD($A8-1+'Calibración de turnos'!$D$9,6)+1,1),IF('Calibración de turnos'!$B$9="T2",IF(MOD($A8-1,7)+1&lt;=5,IF(MOD(INT(($A8-1)/7)+'Calibración de turnos'!$D$9,2)=0,"M2","T2"),"L"),IF(MOD($A8-1,7)+1&lt;=5,IF('Calibración de turnos'!$E$9=13,"M3b","M3a"),"L")))</f>
        <v>L</v>
      </c>
      <c r="G8" s="63" t="str">
        <f aca="false">IF('Calibración de turnos'!$B$10="T1",MID("DDNNLL",MOD($A8-1+'Calibración de turnos'!$D$10,6)+1,1),IF('Calibración de turnos'!$B$10="T2",IF(MOD($A8-1,7)+1&lt;=5,IF(MOD(INT(($A8-1)/7)+'Calibración de turnos'!$D$10,2)=0,"M2","T2"),"L"),IF(MOD($A8-1,7)+1&lt;=5,IF('Calibración de turnos'!$E$10=13,"M3b","M3a"),"L")))</f>
        <v>D</v>
      </c>
      <c r="H8" s="63" t="str">
        <f aca="false">IF('Calibración de turnos'!$B$11="T1",MID("DDNNLL",MOD($A8-1+'Calibración de turnos'!$D$11,6)+1,1),IF('Calibración de turnos'!$B$11="T2",IF(MOD($A8-1,7)+1&lt;=5,IF(MOD(INT(($A8-1)/7)+'Calibración de turnos'!$D$11,2)=0,"M2","T2"),"L"),IF(MOD($A8-1,7)+1&lt;=5,IF('Calibración de turnos'!$E$11=13,"M3b","M3a"),"L")))</f>
        <v>D</v>
      </c>
      <c r="I8" s="63" t="str">
        <f aca="false">IF('Calibración de turnos'!$B$12="T1",MID("DDNNLL",MOD($A8-1+'Calibración de turnos'!$D$12,6)+1,1),IF('Calibración de turnos'!$B$12="T2",IF(MOD($A8-1,7)+1&lt;=5,IF(MOD(INT(($A8-1)/7)+'Calibración de turnos'!$D$12,2)=0,"M2","T2"),"L"),IF(MOD($A8-1,7)+1&lt;=5,IF('Calibración de turnos'!$E$12=13,"M3b","M3a"),"L")))</f>
        <v>M2</v>
      </c>
      <c r="J8" s="63" t="str">
        <f aca="false">IF('Calibración de turnos'!$B$13="T1",MID("DDNNLL",MOD($A8-1+'Calibración de turnos'!$D$13,6)+1,1),IF('Calibración de turnos'!$B$13="T2",IF(MOD($A8-1,7)+1&lt;=5,IF(MOD(INT(($A8-1)/7)+'Calibración de turnos'!$D$13,2)=0,"M2","T2"),"L"),IF(MOD($A8-1,7)+1&lt;=5,IF('Calibración de turnos'!$E$13=13,"M3b","M3a"),"L")))</f>
        <v>T2</v>
      </c>
      <c r="K8" s="63" t="str">
        <f aca="false">IF('Calibración de turnos'!$B$14="T1",MID("DDNNLL",MOD($A8-1+'Calibración de turnos'!$D$14,6)+1,1),IF('Calibración de turnos'!$B$14="T2",IF(MOD($A8-1,7)+1&lt;=5,IF(MOD(INT(($A8-1)/7)+'Calibración de turnos'!$D$14,2)=0,"M2","T2"),"L"),IF(MOD($A8-1,7)+1&lt;=5,IF('Calibración de turnos'!$E$14=13,"M3b","M3a"),"L")))</f>
        <v>M2</v>
      </c>
      <c r="L8" s="63" t="str">
        <f aca="false">IF('Calibración de turnos'!$B$15="T1",MID("DDNNLL",MOD($A8-1+'Calibración de turnos'!$D$15,6)+1,1),IF('Calibración de turnos'!$B$15="T2",IF(MOD($A8-1,7)+1&lt;=5,IF(MOD(INT(($A8-1)/7)+'Calibración de turnos'!$D$15,2)=0,"M2","T2"),"L"),IF(MOD($A8-1,7)+1&lt;=5,IF('Calibración de turnos'!$E$15=13,"M3b","M3a"),"L")))</f>
        <v>T2</v>
      </c>
      <c r="M8" s="63" t="str">
        <f aca="false">IF('Calibración de turnos'!$B$16="T1",MID("DDNNLL",MOD($A8-1+'Calibración de turnos'!$D$16,6)+1,1),IF('Calibración de turnos'!$B$16="T2",IF(MOD($A8-1,7)+1&lt;=5,IF(MOD(INT(($A8-1)/7)+'Calibración de turnos'!$D$16,2)=0,"M2","T2"),"L"),IF(MOD($A8-1,7)+1&lt;=5,IF('Calibración de turnos'!$E$16=13,"M3b","M3a"),"L")))</f>
        <v>M3a</v>
      </c>
      <c r="N8" s="63" t="str">
        <f aca="false">IF('Calibración de turnos'!$B$17="T1",MID("DDNNLL",MOD($A8-1+'Calibración de turnos'!$D$17,6)+1,1),IF('Calibración de turnos'!$B$17="T2",IF(MOD($A8-1,7)+1&lt;=5,IF(MOD(INT(($A8-1)/7)+'Calibración de turnos'!$D$17,2)=0,"M2","T2"),"L"),IF(MOD($A8-1,7)+1&lt;=5,IF('Calibración de turnos'!$E$17=13,"M3b","M3a"),"L")))</f>
        <v>M3a</v>
      </c>
      <c r="O8" s="63" t="str">
        <f aca="false">IF('Calibración de turnos'!$B$18="T1",MID("DDNNLL",MOD($A8-1+'Calibración de turnos'!$D$18,6)+1,1),IF('Calibración de turnos'!$B$18="T2",IF(MOD($A8-1,7)+1&lt;=5,IF(MOD(INT(($A8-1)/7)+'Calibración de turnos'!$D$18,2)=0,"M2","T2"),"L"),IF(MOD($A8-1,7)+1&lt;=5,IF('Calibración de turnos'!$E$18=13,"M3b","M3a"),"L")))</f>
        <v>M3b</v>
      </c>
      <c r="P8" s="63" t="str">
        <f aca="false">IF('Calibración de turnos'!$B$19="T1",MID("DDNNLL",MOD($A8-1+'Calibración de turnos'!$D$19,6)+1,1),IF('Calibración de turnos'!$B$19="T2",IF(MOD($A8-1,7)+1&lt;=5,IF(MOD(INT(($A8-1)/7)+'Calibración de turnos'!$D$19,2)=0,"M2","T2"),"L"),IF(MOD($A8-1,7)+1&lt;=5,IF('Calibración de turnos'!$E$19=13,"M3b","M3a"),"L")))</f>
        <v>M3a</v>
      </c>
      <c r="Q8" s="63" t="str">
        <f aca="false">IF('Calibración de turnos'!$B$20="T1",MID("DDNNLL",MOD($A8-1+'Calibración de turnos'!$D$20,6)+1,1),IF('Calibración de turnos'!$B$20="T2",IF(MOD($A8-1,7)+1&lt;=5,IF(MOD(INT(($A8-1)/7)+'Calibración de turnos'!$D$20,2)=0,"M2","T2"),"L"),IF(MOD($A8-1,7)+1&lt;=5,IF('Calibración de turnos'!$E$20=13,"M3b","M3a"),"L")))</f>
        <v>M3b</v>
      </c>
      <c r="R8" s="63" t="str">
        <f aca="false">IF('Calibración de turnos'!$B$21="T1",MID("DDNNLL",MOD($A8-1+'Calibración de turnos'!$D$21,6)+1,1),IF('Calibración de turnos'!$B$21="T2",IF(MOD($A8-1,7)+1&lt;=5,IF(MOD(INT(($A8-1)/7)+'Calibración de turnos'!$D$21,2)=0,"M2","T2"),"L"),IF(MOD($A8-1,7)+1&lt;=5,IF('Calibración de turnos'!$E$21=13,"M3b","M3a"),"L")))</f>
        <v>M3b</v>
      </c>
      <c r="S8" s="63" t="str">
        <f aca="false">IF('Calibración de turnos'!$B$22="T1",MID("DDNNLL",MOD($A8-1+'Calibración de turnos'!$D$22,6)+1,1),IF('Calibración de turnos'!$B$22="T2",IF(MOD($A8-1,7)+1&lt;=5,IF(MOD(INT(($A8-1)/7)+'Calibración de turnos'!$D$22,2)=0,"M2","T2"),"L"),IF(MOD($A8-1,7)+1&lt;=5,IF('Calibración de turnos'!$E$22=13,"M3b","M3a"),"L")))</f>
        <v>M3a</v>
      </c>
      <c r="T8" s="63" t="str">
        <f aca="false">IF('Calibración de turnos'!$B$23="T1",MID("DDNNLL",MOD($A8-1+'Calibración de turnos'!$D$23,6)+1,1),IF('Calibración de turnos'!$B$23="T2",IF(MOD($A8-1,7)+1&lt;=5,IF(MOD(INT(($A8-1)/7)+'Calibración de turnos'!$D$23,2)=0,"M2","T2"),"L"),IF(MOD($A8-1,7)+1&lt;=5,IF('Calibración de turnos'!$E$23=13,"M3b","M3a"),"L")))</f>
        <v>M3b</v>
      </c>
      <c r="U8" s="63" t="str">
        <f aca="false">IF('Calibración de turnos'!$B$24="T1",MID("DDNNLL",MOD($A8-1+'Calibración de turnos'!$D$24,6)+1,1),IF('Calibración de turnos'!$B$24="T2",IF(MOD($A8-1,7)+1&lt;=5,IF(MOD(INT(($A8-1)/7)+'Calibración de turnos'!$D$24,2)=0,"M2","T2"),"L"),IF(MOD($A8-1,7)+1&lt;=5,IF('Calibración de turnos'!$E$24=13,"M3b","M3a"),"L")))</f>
        <v>M3a</v>
      </c>
      <c r="V8" s="63" t="str">
        <f aca="false">IF('Calibración de turnos'!$B$25="T1",MID("DDNNLL",MOD($A8-1+'Calibración de turnos'!$D$25,6)+1,1),IF('Calibración de turnos'!$B$25="T2",IF(MOD($A8-1,7)+1&lt;=5,IF(MOD(INT(($A8-1)/7)+'Calibración de turnos'!$D$25,2)=0,"M2","T2"),"L"),IF(MOD($A8-1,7)+1&lt;=5,IF('Calibración de turnos'!$E$25=13,"M3b","M3a"),"L")))</f>
        <v>M3b</v>
      </c>
    </row>
    <row r="9" customFormat="false" ht="15" hidden="false" customHeight="false" outlineLevel="0" collapsed="false">
      <c r="A9" s="18" t="n">
        <v>5</v>
      </c>
      <c r="B9" s="18" t="str">
        <f aca="false">CHOOSE(MOD(A9-1,7)+1,"lunes","martes","miércoles","jueves","viernes","sábado","domingo")</f>
        <v>viernes</v>
      </c>
      <c r="C9" s="63" t="str">
        <f aca="false">IF('Calibración de turnos'!$B$6="T1",MID("DDNNLL",MOD($A9-1+'Calibración de turnos'!$D$6,6)+1,1),IF('Calibración de turnos'!$B$6="T2",IF(MOD($A9-1,7)+1&lt;=5,IF(MOD(INT(($A9-1)/7)+'Calibración de turnos'!$D$6,2)=0,"M2","T2"),"L"),IF(MOD($A9-1,7)+1&lt;=5,IF('Calibración de turnos'!$E$6=13,"M3b","M3a"),"L")))</f>
        <v>L</v>
      </c>
      <c r="D9" s="63" t="str">
        <f aca="false">IF('Calibración de turnos'!$B$7="T1",MID("DDNNLL",MOD($A9-1+'Calibración de turnos'!$D$7,6)+1,1),IF('Calibración de turnos'!$B$7="T2",IF(MOD($A9-1,7)+1&lt;=5,IF(MOD(INT(($A9-1)/7)+'Calibración de turnos'!$D$7,2)=0,"M2","T2"),"L"),IF(MOD($A9-1,7)+1&lt;=5,IF('Calibración de turnos'!$E$7=13,"M3b","M3a"),"L")))</f>
        <v>D</v>
      </c>
      <c r="E9" s="63" t="str">
        <f aca="false">IF('Calibración de turnos'!$B$8="T1",MID("DDNNLL",MOD($A9-1+'Calibración de turnos'!$D$8,6)+1,1),IF('Calibración de turnos'!$B$8="T2",IF(MOD($A9-1,7)+1&lt;=5,IF(MOD(INT(($A9-1)/7)+'Calibración de turnos'!$D$8,2)=0,"M2","T2"),"L"),IF(MOD($A9-1,7)+1&lt;=5,IF('Calibración de turnos'!$E$8=13,"M3b","M3a"),"L")))</f>
        <v>L</v>
      </c>
      <c r="F9" s="63" t="str">
        <f aca="false">IF('Calibración de turnos'!$B$9="T1",MID("DDNNLL",MOD($A9-1+'Calibración de turnos'!$D$9,6)+1,1),IF('Calibración de turnos'!$B$9="T2",IF(MOD($A9-1,7)+1&lt;=5,IF(MOD(INT(($A9-1)/7)+'Calibración de turnos'!$D$9,2)=0,"M2","T2"),"L"),IF(MOD($A9-1,7)+1&lt;=5,IF('Calibración de turnos'!$E$9=13,"M3b","M3a"),"L")))</f>
        <v>D</v>
      </c>
      <c r="G9" s="63" t="str">
        <f aca="false">IF('Calibración de turnos'!$B$10="T1",MID("DDNNLL",MOD($A9-1+'Calibración de turnos'!$D$10,6)+1,1),IF('Calibración de turnos'!$B$10="T2",IF(MOD($A9-1,7)+1&lt;=5,IF(MOD(INT(($A9-1)/7)+'Calibración de turnos'!$D$10,2)=0,"M2","T2"),"L"),IF(MOD($A9-1,7)+1&lt;=5,IF('Calibración de turnos'!$E$10=13,"M3b","M3a"),"L")))</f>
        <v>N</v>
      </c>
      <c r="H9" s="63" t="str">
        <f aca="false">IF('Calibración de turnos'!$B$11="T1",MID("DDNNLL",MOD($A9-1+'Calibración de turnos'!$D$11,6)+1,1),IF('Calibración de turnos'!$B$11="T2",IF(MOD($A9-1,7)+1&lt;=5,IF(MOD(INT(($A9-1)/7)+'Calibración de turnos'!$D$11,2)=0,"M2","T2"),"L"),IF(MOD($A9-1,7)+1&lt;=5,IF('Calibración de turnos'!$E$11=13,"M3b","M3a"),"L")))</f>
        <v>N</v>
      </c>
      <c r="I9" s="63" t="str">
        <f aca="false">IF('Calibración de turnos'!$B$12="T1",MID("DDNNLL",MOD($A9-1+'Calibración de turnos'!$D$12,6)+1,1),IF('Calibración de turnos'!$B$12="T2",IF(MOD($A9-1,7)+1&lt;=5,IF(MOD(INT(($A9-1)/7)+'Calibración de turnos'!$D$12,2)=0,"M2","T2"),"L"),IF(MOD($A9-1,7)+1&lt;=5,IF('Calibración de turnos'!$E$12=13,"M3b","M3a"),"L")))</f>
        <v>M2</v>
      </c>
      <c r="J9" s="63" t="str">
        <f aca="false">IF('Calibración de turnos'!$B$13="T1",MID("DDNNLL",MOD($A9-1+'Calibración de turnos'!$D$13,6)+1,1),IF('Calibración de turnos'!$B$13="T2",IF(MOD($A9-1,7)+1&lt;=5,IF(MOD(INT(($A9-1)/7)+'Calibración de turnos'!$D$13,2)=0,"M2","T2"),"L"),IF(MOD($A9-1,7)+1&lt;=5,IF('Calibración de turnos'!$E$13=13,"M3b","M3a"),"L")))</f>
        <v>T2</v>
      </c>
      <c r="K9" s="63" t="str">
        <f aca="false">IF('Calibración de turnos'!$B$14="T1",MID("DDNNLL",MOD($A9-1+'Calibración de turnos'!$D$14,6)+1,1),IF('Calibración de turnos'!$B$14="T2",IF(MOD($A9-1,7)+1&lt;=5,IF(MOD(INT(($A9-1)/7)+'Calibración de turnos'!$D$14,2)=0,"M2","T2"),"L"),IF(MOD($A9-1,7)+1&lt;=5,IF('Calibración de turnos'!$E$14=13,"M3b","M3a"),"L")))</f>
        <v>M2</v>
      </c>
      <c r="L9" s="63" t="str">
        <f aca="false">IF('Calibración de turnos'!$B$15="T1",MID("DDNNLL",MOD($A9-1+'Calibración de turnos'!$D$15,6)+1,1),IF('Calibración de turnos'!$B$15="T2",IF(MOD($A9-1,7)+1&lt;=5,IF(MOD(INT(($A9-1)/7)+'Calibración de turnos'!$D$15,2)=0,"M2","T2"),"L"),IF(MOD($A9-1,7)+1&lt;=5,IF('Calibración de turnos'!$E$15=13,"M3b","M3a"),"L")))</f>
        <v>T2</v>
      </c>
      <c r="M9" s="63" t="str">
        <f aca="false">IF('Calibración de turnos'!$B$16="T1",MID("DDNNLL",MOD($A9-1+'Calibración de turnos'!$D$16,6)+1,1),IF('Calibración de turnos'!$B$16="T2",IF(MOD($A9-1,7)+1&lt;=5,IF(MOD(INT(($A9-1)/7)+'Calibración de turnos'!$D$16,2)=0,"M2","T2"),"L"),IF(MOD($A9-1,7)+1&lt;=5,IF('Calibración de turnos'!$E$16=13,"M3b","M3a"),"L")))</f>
        <v>M3a</v>
      </c>
      <c r="N9" s="63" t="str">
        <f aca="false">IF('Calibración de turnos'!$B$17="T1",MID("DDNNLL",MOD($A9-1+'Calibración de turnos'!$D$17,6)+1,1),IF('Calibración de turnos'!$B$17="T2",IF(MOD($A9-1,7)+1&lt;=5,IF(MOD(INT(($A9-1)/7)+'Calibración de turnos'!$D$17,2)=0,"M2","T2"),"L"),IF(MOD($A9-1,7)+1&lt;=5,IF('Calibración de turnos'!$E$17=13,"M3b","M3a"),"L")))</f>
        <v>M3a</v>
      </c>
      <c r="O9" s="63" t="str">
        <f aca="false">IF('Calibración de turnos'!$B$18="T1",MID("DDNNLL",MOD($A9-1+'Calibración de turnos'!$D$18,6)+1,1),IF('Calibración de turnos'!$B$18="T2",IF(MOD($A9-1,7)+1&lt;=5,IF(MOD(INT(($A9-1)/7)+'Calibración de turnos'!$D$18,2)=0,"M2","T2"),"L"),IF(MOD($A9-1,7)+1&lt;=5,IF('Calibración de turnos'!$E$18=13,"M3b","M3a"),"L")))</f>
        <v>M3b</v>
      </c>
      <c r="P9" s="63" t="str">
        <f aca="false">IF('Calibración de turnos'!$B$19="T1",MID("DDNNLL",MOD($A9-1+'Calibración de turnos'!$D$19,6)+1,1),IF('Calibración de turnos'!$B$19="T2",IF(MOD($A9-1,7)+1&lt;=5,IF(MOD(INT(($A9-1)/7)+'Calibración de turnos'!$D$19,2)=0,"M2","T2"),"L"),IF(MOD($A9-1,7)+1&lt;=5,IF('Calibración de turnos'!$E$19=13,"M3b","M3a"),"L")))</f>
        <v>M3a</v>
      </c>
      <c r="Q9" s="63" t="str">
        <f aca="false">IF('Calibración de turnos'!$B$20="T1",MID("DDNNLL",MOD($A9-1+'Calibración de turnos'!$D$20,6)+1,1),IF('Calibración de turnos'!$B$20="T2",IF(MOD($A9-1,7)+1&lt;=5,IF(MOD(INT(($A9-1)/7)+'Calibración de turnos'!$D$20,2)=0,"M2","T2"),"L"),IF(MOD($A9-1,7)+1&lt;=5,IF('Calibración de turnos'!$E$20=13,"M3b","M3a"),"L")))</f>
        <v>M3b</v>
      </c>
      <c r="R9" s="63" t="str">
        <f aca="false">IF('Calibración de turnos'!$B$21="T1",MID("DDNNLL",MOD($A9-1+'Calibración de turnos'!$D$21,6)+1,1),IF('Calibración de turnos'!$B$21="T2",IF(MOD($A9-1,7)+1&lt;=5,IF(MOD(INT(($A9-1)/7)+'Calibración de turnos'!$D$21,2)=0,"M2","T2"),"L"),IF(MOD($A9-1,7)+1&lt;=5,IF('Calibración de turnos'!$E$21=13,"M3b","M3a"),"L")))</f>
        <v>M3b</v>
      </c>
      <c r="S9" s="63" t="str">
        <f aca="false">IF('Calibración de turnos'!$B$22="T1",MID("DDNNLL",MOD($A9-1+'Calibración de turnos'!$D$22,6)+1,1),IF('Calibración de turnos'!$B$22="T2",IF(MOD($A9-1,7)+1&lt;=5,IF(MOD(INT(($A9-1)/7)+'Calibración de turnos'!$D$22,2)=0,"M2","T2"),"L"),IF(MOD($A9-1,7)+1&lt;=5,IF('Calibración de turnos'!$E$22=13,"M3b","M3a"),"L")))</f>
        <v>M3a</v>
      </c>
      <c r="T9" s="63" t="str">
        <f aca="false">IF('Calibración de turnos'!$B$23="T1",MID("DDNNLL",MOD($A9-1+'Calibración de turnos'!$D$23,6)+1,1),IF('Calibración de turnos'!$B$23="T2",IF(MOD($A9-1,7)+1&lt;=5,IF(MOD(INT(($A9-1)/7)+'Calibración de turnos'!$D$23,2)=0,"M2","T2"),"L"),IF(MOD($A9-1,7)+1&lt;=5,IF('Calibración de turnos'!$E$23=13,"M3b","M3a"),"L")))</f>
        <v>M3b</v>
      </c>
      <c r="U9" s="63" t="str">
        <f aca="false">IF('Calibración de turnos'!$B$24="T1",MID("DDNNLL",MOD($A9-1+'Calibración de turnos'!$D$24,6)+1,1),IF('Calibración de turnos'!$B$24="T2",IF(MOD($A9-1,7)+1&lt;=5,IF(MOD(INT(($A9-1)/7)+'Calibración de turnos'!$D$24,2)=0,"M2","T2"),"L"),IF(MOD($A9-1,7)+1&lt;=5,IF('Calibración de turnos'!$E$24=13,"M3b","M3a"),"L")))</f>
        <v>M3a</v>
      </c>
      <c r="V9" s="63" t="str">
        <f aca="false">IF('Calibración de turnos'!$B$25="T1",MID("DDNNLL",MOD($A9-1+'Calibración de turnos'!$D$25,6)+1,1),IF('Calibración de turnos'!$B$25="T2",IF(MOD($A9-1,7)+1&lt;=5,IF(MOD(INT(($A9-1)/7)+'Calibración de turnos'!$D$25,2)=0,"M2","T2"),"L"),IF(MOD($A9-1,7)+1&lt;=5,IF('Calibración de turnos'!$E$25=13,"M3b","M3a"),"L")))</f>
        <v>M3b</v>
      </c>
    </row>
    <row r="10" customFormat="false" ht="15" hidden="false" customHeight="false" outlineLevel="0" collapsed="false">
      <c r="A10" s="18" t="n">
        <v>6</v>
      </c>
      <c r="B10" s="18" t="str">
        <f aca="false">CHOOSE(MOD(A10-1,7)+1,"lunes","martes","miércoles","jueves","viernes","sábado","domingo")</f>
        <v>sábado</v>
      </c>
      <c r="C10" s="63" t="str">
        <f aca="false">IF('Calibración de turnos'!$B$6="T1",MID("DDNNLL",MOD($A10-1+'Calibración de turnos'!$D$6,6)+1,1),IF('Calibración de turnos'!$B$6="T2",IF(MOD($A10-1,7)+1&lt;=5,IF(MOD(INT(($A10-1)/7)+'Calibración de turnos'!$D$6,2)=0,"M2","T2"),"L"),IF(MOD($A10-1,7)+1&lt;=5,IF('Calibración de turnos'!$E$6=13,"M3b","M3a"),"L")))</f>
        <v>L</v>
      </c>
      <c r="D10" s="63" t="str">
        <f aca="false">IF('Calibración de turnos'!$B$7="T1",MID("DDNNLL",MOD($A10-1+'Calibración de turnos'!$D$7,6)+1,1),IF('Calibración de turnos'!$B$7="T2",IF(MOD($A10-1,7)+1&lt;=5,IF(MOD(INT(($A10-1)/7)+'Calibración de turnos'!$D$7,2)=0,"M2","T2"),"L"),IF(MOD($A10-1,7)+1&lt;=5,IF('Calibración de turnos'!$E$7=13,"M3b","M3a"),"L")))</f>
        <v>D</v>
      </c>
      <c r="E10" s="63" t="str">
        <f aca="false">IF('Calibración de turnos'!$B$8="T1",MID("DDNNLL",MOD($A10-1+'Calibración de turnos'!$D$8,6)+1,1),IF('Calibración de turnos'!$B$8="T2",IF(MOD($A10-1,7)+1&lt;=5,IF(MOD(INT(($A10-1)/7)+'Calibración de turnos'!$D$8,2)=0,"M2","T2"),"L"),IF(MOD($A10-1,7)+1&lt;=5,IF('Calibración de turnos'!$E$8=13,"M3b","M3a"),"L")))</f>
        <v>L</v>
      </c>
      <c r="F10" s="63" t="str">
        <f aca="false">IF('Calibración de turnos'!$B$9="T1",MID("DDNNLL",MOD($A10-1+'Calibración de turnos'!$D$9,6)+1,1),IF('Calibración de turnos'!$B$9="T2",IF(MOD($A10-1,7)+1&lt;=5,IF(MOD(INT(($A10-1)/7)+'Calibración de turnos'!$D$9,2)=0,"M2","T2"),"L"),IF(MOD($A10-1,7)+1&lt;=5,IF('Calibración de turnos'!$E$9=13,"M3b","M3a"),"L")))</f>
        <v>D</v>
      </c>
      <c r="G10" s="63" t="str">
        <f aca="false">IF('Calibración de turnos'!$B$10="T1",MID("DDNNLL",MOD($A10-1+'Calibración de turnos'!$D$10,6)+1,1),IF('Calibración de turnos'!$B$10="T2",IF(MOD($A10-1,7)+1&lt;=5,IF(MOD(INT(($A10-1)/7)+'Calibración de turnos'!$D$10,2)=0,"M2","T2"),"L"),IF(MOD($A10-1,7)+1&lt;=5,IF('Calibración de turnos'!$E$10=13,"M3b","M3a"),"L")))</f>
        <v>N</v>
      </c>
      <c r="H10" s="63" t="str">
        <f aca="false">IF('Calibración de turnos'!$B$11="T1",MID("DDNNLL",MOD($A10-1+'Calibración de turnos'!$D$11,6)+1,1),IF('Calibración de turnos'!$B$11="T2",IF(MOD($A10-1,7)+1&lt;=5,IF(MOD(INT(($A10-1)/7)+'Calibración de turnos'!$D$11,2)=0,"M2","T2"),"L"),IF(MOD($A10-1,7)+1&lt;=5,IF('Calibración de turnos'!$E$11=13,"M3b","M3a"),"L")))</f>
        <v>N</v>
      </c>
      <c r="I10" s="63" t="str">
        <f aca="false">IF('Calibración de turnos'!$B$12="T1",MID("DDNNLL",MOD($A10-1+'Calibración de turnos'!$D$12,6)+1,1),IF('Calibración de turnos'!$B$12="T2",IF(MOD($A10-1,7)+1&lt;=5,IF(MOD(INT(($A10-1)/7)+'Calibración de turnos'!$D$12,2)=0,"M2","T2"),"L"),IF(MOD($A10-1,7)+1&lt;=5,IF('Calibración de turnos'!$E$12=13,"M3b","M3a"),"L")))</f>
        <v>L</v>
      </c>
      <c r="J10" s="63" t="str">
        <f aca="false">IF('Calibración de turnos'!$B$13="T1",MID("DDNNLL",MOD($A10-1+'Calibración de turnos'!$D$13,6)+1,1),IF('Calibración de turnos'!$B$13="T2",IF(MOD($A10-1,7)+1&lt;=5,IF(MOD(INT(($A10-1)/7)+'Calibración de turnos'!$D$13,2)=0,"M2","T2"),"L"),IF(MOD($A10-1,7)+1&lt;=5,IF('Calibración de turnos'!$E$13=13,"M3b","M3a"),"L")))</f>
        <v>L</v>
      </c>
      <c r="K10" s="63" t="str">
        <f aca="false">IF('Calibración de turnos'!$B$14="T1",MID("DDNNLL",MOD($A10-1+'Calibración de turnos'!$D$14,6)+1,1),IF('Calibración de turnos'!$B$14="T2",IF(MOD($A10-1,7)+1&lt;=5,IF(MOD(INT(($A10-1)/7)+'Calibración de turnos'!$D$14,2)=0,"M2","T2"),"L"),IF(MOD($A10-1,7)+1&lt;=5,IF('Calibración de turnos'!$E$14=13,"M3b","M3a"),"L")))</f>
        <v>L</v>
      </c>
      <c r="L10" s="63" t="str">
        <f aca="false">IF('Calibración de turnos'!$B$15="T1",MID("DDNNLL",MOD($A10-1+'Calibración de turnos'!$D$15,6)+1,1),IF('Calibración de turnos'!$B$15="T2",IF(MOD($A10-1,7)+1&lt;=5,IF(MOD(INT(($A10-1)/7)+'Calibración de turnos'!$D$15,2)=0,"M2","T2"),"L"),IF(MOD($A10-1,7)+1&lt;=5,IF('Calibración de turnos'!$E$15=13,"M3b","M3a"),"L")))</f>
        <v>L</v>
      </c>
      <c r="M10" s="63" t="str">
        <f aca="false">IF('Calibración de turnos'!$B$16="T1",MID("DDNNLL",MOD($A10-1+'Calibración de turnos'!$D$16,6)+1,1),IF('Calibración de turnos'!$B$16="T2",IF(MOD($A10-1,7)+1&lt;=5,IF(MOD(INT(($A10-1)/7)+'Calibración de turnos'!$D$16,2)=0,"M2","T2"),"L"),IF(MOD($A10-1,7)+1&lt;=5,IF('Calibración de turnos'!$E$16=13,"M3b","M3a"),"L")))</f>
        <v>L</v>
      </c>
      <c r="N10" s="63" t="str">
        <f aca="false">IF('Calibración de turnos'!$B$17="T1",MID("DDNNLL",MOD($A10-1+'Calibración de turnos'!$D$17,6)+1,1),IF('Calibración de turnos'!$B$17="T2",IF(MOD($A10-1,7)+1&lt;=5,IF(MOD(INT(($A10-1)/7)+'Calibración de turnos'!$D$17,2)=0,"M2","T2"),"L"),IF(MOD($A10-1,7)+1&lt;=5,IF('Calibración de turnos'!$E$17=13,"M3b","M3a"),"L")))</f>
        <v>L</v>
      </c>
      <c r="O10" s="63" t="str">
        <f aca="false">IF('Calibración de turnos'!$B$18="T1",MID("DDNNLL",MOD($A10-1+'Calibración de turnos'!$D$18,6)+1,1),IF('Calibración de turnos'!$B$18="T2",IF(MOD($A10-1,7)+1&lt;=5,IF(MOD(INT(($A10-1)/7)+'Calibración de turnos'!$D$18,2)=0,"M2","T2"),"L"),IF(MOD($A10-1,7)+1&lt;=5,IF('Calibración de turnos'!$E$18=13,"M3b","M3a"),"L")))</f>
        <v>L</v>
      </c>
      <c r="P10" s="63" t="str">
        <f aca="false">IF('Calibración de turnos'!$B$19="T1",MID("DDNNLL",MOD($A10-1+'Calibración de turnos'!$D$19,6)+1,1),IF('Calibración de turnos'!$B$19="T2",IF(MOD($A10-1,7)+1&lt;=5,IF(MOD(INT(($A10-1)/7)+'Calibración de turnos'!$D$19,2)=0,"M2","T2"),"L"),IF(MOD($A10-1,7)+1&lt;=5,IF('Calibración de turnos'!$E$19=13,"M3b","M3a"),"L")))</f>
        <v>L</v>
      </c>
      <c r="Q10" s="63" t="str">
        <f aca="false">IF('Calibración de turnos'!$B$20="T1",MID("DDNNLL",MOD($A10-1+'Calibración de turnos'!$D$20,6)+1,1),IF('Calibración de turnos'!$B$20="T2",IF(MOD($A10-1,7)+1&lt;=5,IF(MOD(INT(($A10-1)/7)+'Calibración de turnos'!$D$20,2)=0,"M2","T2"),"L"),IF(MOD($A10-1,7)+1&lt;=5,IF('Calibración de turnos'!$E$20=13,"M3b","M3a"),"L")))</f>
        <v>L</v>
      </c>
      <c r="R10" s="63" t="str">
        <f aca="false">IF('Calibración de turnos'!$B$21="T1",MID("DDNNLL",MOD($A10-1+'Calibración de turnos'!$D$21,6)+1,1),IF('Calibración de turnos'!$B$21="T2",IF(MOD($A10-1,7)+1&lt;=5,IF(MOD(INT(($A10-1)/7)+'Calibración de turnos'!$D$21,2)=0,"M2","T2"),"L"),IF(MOD($A10-1,7)+1&lt;=5,IF('Calibración de turnos'!$E$21=13,"M3b","M3a"),"L")))</f>
        <v>L</v>
      </c>
      <c r="S10" s="63" t="str">
        <f aca="false">IF('Calibración de turnos'!$B$22="T1",MID("DDNNLL",MOD($A10-1+'Calibración de turnos'!$D$22,6)+1,1),IF('Calibración de turnos'!$B$22="T2",IF(MOD($A10-1,7)+1&lt;=5,IF(MOD(INT(($A10-1)/7)+'Calibración de turnos'!$D$22,2)=0,"M2","T2"),"L"),IF(MOD($A10-1,7)+1&lt;=5,IF('Calibración de turnos'!$E$22=13,"M3b","M3a"),"L")))</f>
        <v>L</v>
      </c>
      <c r="T10" s="63" t="str">
        <f aca="false">IF('Calibración de turnos'!$B$23="T1",MID("DDNNLL",MOD($A10-1+'Calibración de turnos'!$D$23,6)+1,1),IF('Calibración de turnos'!$B$23="T2",IF(MOD($A10-1,7)+1&lt;=5,IF(MOD(INT(($A10-1)/7)+'Calibración de turnos'!$D$23,2)=0,"M2","T2"),"L"),IF(MOD($A10-1,7)+1&lt;=5,IF('Calibración de turnos'!$E$23=13,"M3b","M3a"),"L")))</f>
        <v>L</v>
      </c>
      <c r="U10" s="63" t="str">
        <f aca="false">IF('Calibración de turnos'!$B$24="T1",MID("DDNNLL",MOD($A10-1+'Calibración de turnos'!$D$24,6)+1,1),IF('Calibración de turnos'!$B$24="T2",IF(MOD($A10-1,7)+1&lt;=5,IF(MOD(INT(($A10-1)/7)+'Calibración de turnos'!$D$24,2)=0,"M2","T2"),"L"),IF(MOD($A10-1,7)+1&lt;=5,IF('Calibración de turnos'!$E$24=13,"M3b","M3a"),"L")))</f>
        <v>L</v>
      </c>
      <c r="V10" s="63" t="str">
        <f aca="false">IF('Calibración de turnos'!$B$25="T1",MID("DDNNLL",MOD($A10-1+'Calibración de turnos'!$D$25,6)+1,1),IF('Calibración de turnos'!$B$25="T2",IF(MOD($A10-1,7)+1&lt;=5,IF(MOD(INT(($A10-1)/7)+'Calibración de turnos'!$D$25,2)=0,"M2","T2"),"L"),IF(MOD($A10-1,7)+1&lt;=5,IF('Calibración de turnos'!$E$25=13,"M3b","M3a"),"L")))</f>
        <v>L</v>
      </c>
    </row>
    <row r="11" customFormat="false" ht="15" hidden="false" customHeight="false" outlineLevel="0" collapsed="false">
      <c r="A11" s="18" t="n">
        <v>7</v>
      </c>
      <c r="B11" s="18" t="str">
        <f aca="false">CHOOSE(MOD(A11-1,7)+1,"lunes","martes","miércoles","jueves","viernes","sábado","domingo")</f>
        <v>domingo</v>
      </c>
      <c r="C11" s="63" t="str">
        <f aca="false">IF('Calibración de turnos'!$B$6="T1",MID("DDNNLL",MOD($A11-1+'Calibración de turnos'!$D$6,6)+1,1),IF('Calibración de turnos'!$B$6="T2",IF(MOD($A11-1,7)+1&lt;=5,IF(MOD(INT(($A11-1)/7)+'Calibración de turnos'!$D$6,2)=0,"M2","T2"),"L"),IF(MOD($A11-1,7)+1&lt;=5,IF('Calibración de turnos'!$E$6=13,"M3b","M3a"),"L")))</f>
        <v>D</v>
      </c>
      <c r="D11" s="63" t="str">
        <f aca="false">IF('Calibración de turnos'!$B$7="T1",MID("DDNNLL",MOD($A11-1+'Calibración de turnos'!$D$7,6)+1,1),IF('Calibración de turnos'!$B$7="T2",IF(MOD($A11-1,7)+1&lt;=5,IF(MOD(INT(($A11-1)/7)+'Calibración de turnos'!$D$7,2)=0,"M2","T2"),"L"),IF(MOD($A11-1,7)+1&lt;=5,IF('Calibración de turnos'!$E$7=13,"M3b","M3a"),"L")))</f>
        <v>N</v>
      </c>
      <c r="E11" s="63" t="str">
        <f aca="false">IF('Calibración de turnos'!$B$8="T1",MID("DDNNLL",MOD($A11-1+'Calibración de turnos'!$D$8,6)+1,1),IF('Calibración de turnos'!$B$8="T2",IF(MOD($A11-1,7)+1&lt;=5,IF(MOD(INT(($A11-1)/7)+'Calibración de turnos'!$D$8,2)=0,"M2","T2"),"L"),IF(MOD($A11-1,7)+1&lt;=5,IF('Calibración de turnos'!$E$8=13,"M3b","M3a"),"L")))</f>
        <v>D</v>
      </c>
      <c r="F11" s="63" t="str">
        <f aca="false">IF('Calibración de turnos'!$B$9="T1",MID("DDNNLL",MOD($A11-1+'Calibración de turnos'!$D$9,6)+1,1),IF('Calibración de turnos'!$B$9="T2",IF(MOD($A11-1,7)+1&lt;=5,IF(MOD(INT(($A11-1)/7)+'Calibración de turnos'!$D$9,2)=0,"M2","T2"),"L"),IF(MOD($A11-1,7)+1&lt;=5,IF('Calibración de turnos'!$E$9=13,"M3b","M3a"),"L")))</f>
        <v>N</v>
      </c>
      <c r="G11" s="63" t="str">
        <f aca="false">IF('Calibración de turnos'!$B$10="T1",MID("DDNNLL",MOD($A11-1+'Calibración de turnos'!$D$10,6)+1,1),IF('Calibración de turnos'!$B$10="T2",IF(MOD($A11-1,7)+1&lt;=5,IF(MOD(INT(($A11-1)/7)+'Calibración de turnos'!$D$10,2)=0,"M2","T2"),"L"),IF(MOD($A11-1,7)+1&lt;=5,IF('Calibración de turnos'!$E$10=13,"M3b","M3a"),"L")))</f>
        <v>L</v>
      </c>
      <c r="H11" s="63" t="str">
        <f aca="false">IF('Calibración de turnos'!$B$11="T1",MID("DDNNLL",MOD($A11-1+'Calibración de turnos'!$D$11,6)+1,1),IF('Calibración de turnos'!$B$11="T2",IF(MOD($A11-1,7)+1&lt;=5,IF(MOD(INT(($A11-1)/7)+'Calibración de turnos'!$D$11,2)=0,"M2","T2"),"L"),IF(MOD($A11-1,7)+1&lt;=5,IF('Calibración de turnos'!$E$11=13,"M3b","M3a"),"L")))</f>
        <v>L</v>
      </c>
      <c r="I11" s="63" t="str">
        <f aca="false">IF('Calibración de turnos'!$B$12="T1",MID("DDNNLL",MOD($A11-1+'Calibración de turnos'!$D$12,6)+1,1),IF('Calibración de turnos'!$B$12="T2",IF(MOD($A11-1,7)+1&lt;=5,IF(MOD(INT(($A11-1)/7)+'Calibración de turnos'!$D$12,2)=0,"M2","T2"),"L"),IF(MOD($A11-1,7)+1&lt;=5,IF('Calibración de turnos'!$E$12=13,"M3b","M3a"),"L")))</f>
        <v>L</v>
      </c>
      <c r="J11" s="63" t="str">
        <f aca="false">IF('Calibración de turnos'!$B$13="T1",MID("DDNNLL",MOD($A11-1+'Calibración de turnos'!$D$13,6)+1,1),IF('Calibración de turnos'!$B$13="T2",IF(MOD($A11-1,7)+1&lt;=5,IF(MOD(INT(($A11-1)/7)+'Calibración de turnos'!$D$13,2)=0,"M2","T2"),"L"),IF(MOD($A11-1,7)+1&lt;=5,IF('Calibración de turnos'!$E$13=13,"M3b","M3a"),"L")))</f>
        <v>L</v>
      </c>
      <c r="K11" s="63" t="str">
        <f aca="false">IF('Calibración de turnos'!$B$14="T1",MID("DDNNLL",MOD($A11-1+'Calibración de turnos'!$D$14,6)+1,1),IF('Calibración de turnos'!$B$14="T2",IF(MOD($A11-1,7)+1&lt;=5,IF(MOD(INT(($A11-1)/7)+'Calibración de turnos'!$D$14,2)=0,"M2","T2"),"L"),IF(MOD($A11-1,7)+1&lt;=5,IF('Calibración de turnos'!$E$14=13,"M3b","M3a"),"L")))</f>
        <v>L</v>
      </c>
      <c r="L11" s="63" t="str">
        <f aca="false">IF('Calibración de turnos'!$B$15="T1",MID("DDNNLL",MOD($A11-1+'Calibración de turnos'!$D$15,6)+1,1),IF('Calibración de turnos'!$B$15="T2",IF(MOD($A11-1,7)+1&lt;=5,IF(MOD(INT(($A11-1)/7)+'Calibración de turnos'!$D$15,2)=0,"M2","T2"),"L"),IF(MOD($A11-1,7)+1&lt;=5,IF('Calibración de turnos'!$E$15=13,"M3b","M3a"),"L")))</f>
        <v>L</v>
      </c>
      <c r="M11" s="63" t="str">
        <f aca="false">IF('Calibración de turnos'!$B$16="T1",MID("DDNNLL",MOD($A11-1+'Calibración de turnos'!$D$16,6)+1,1),IF('Calibración de turnos'!$B$16="T2",IF(MOD($A11-1,7)+1&lt;=5,IF(MOD(INT(($A11-1)/7)+'Calibración de turnos'!$D$16,2)=0,"M2","T2"),"L"),IF(MOD($A11-1,7)+1&lt;=5,IF('Calibración de turnos'!$E$16=13,"M3b","M3a"),"L")))</f>
        <v>L</v>
      </c>
      <c r="N11" s="63" t="str">
        <f aca="false">IF('Calibración de turnos'!$B$17="T1",MID("DDNNLL",MOD($A11-1+'Calibración de turnos'!$D$17,6)+1,1),IF('Calibración de turnos'!$B$17="T2",IF(MOD($A11-1,7)+1&lt;=5,IF(MOD(INT(($A11-1)/7)+'Calibración de turnos'!$D$17,2)=0,"M2","T2"),"L"),IF(MOD($A11-1,7)+1&lt;=5,IF('Calibración de turnos'!$E$17=13,"M3b","M3a"),"L")))</f>
        <v>L</v>
      </c>
      <c r="O11" s="63" t="str">
        <f aca="false">IF('Calibración de turnos'!$B$18="T1",MID("DDNNLL",MOD($A11-1+'Calibración de turnos'!$D$18,6)+1,1),IF('Calibración de turnos'!$B$18="T2",IF(MOD($A11-1,7)+1&lt;=5,IF(MOD(INT(($A11-1)/7)+'Calibración de turnos'!$D$18,2)=0,"M2","T2"),"L"),IF(MOD($A11-1,7)+1&lt;=5,IF('Calibración de turnos'!$E$18=13,"M3b","M3a"),"L")))</f>
        <v>L</v>
      </c>
      <c r="P11" s="63" t="str">
        <f aca="false">IF('Calibración de turnos'!$B$19="T1",MID("DDNNLL",MOD($A11-1+'Calibración de turnos'!$D$19,6)+1,1),IF('Calibración de turnos'!$B$19="T2",IF(MOD($A11-1,7)+1&lt;=5,IF(MOD(INT(($A11-1)/7)+'Calibración de turnos'!$D$19,2)=0,"M2","T2"),"L"),IF(MOD($A11-1,7)+1&lt;=5,IF('Calibración de turnos'!$E$19=13,"M3b","M3a"),"L")))</f>
        <v>L</v>
      </c>
      <c r="Q11" s="63" t="str">
        <f aca="false">IF('Calibración de turnos'!$B$20="T1",MID("DDNNLL",MOD($A11-1+'Calibración de turnos'!$D$20,6)+1,1),IF('Calibración de turnos'!$B$20="T2",IF(MOD($A11-1,7)+1&lt;=5,IF(MOD(INT(($A11-1)/7)+'Calibración de turnos'!$D$20,2)=0,"M2","T2"),"L"),IF(MOD($A11-1,7)+1&lt;=5,IF('Calibración de turnos'!$E$20=13,"M3b","M3a"),"L")))</f>
        <v>L</v>
      </c>
      <c r="R11" s="63" t="str">
        <f aca="false">IF('Calibración de turnos'!$B$21="T1",MID("DDNNLL",MOD($A11-1+'Calibración de turnos'!$D$21,6)+1,1),IF('Calibración de turnos'!$B$21="T2",IF(MOD($A11-1,7)+1&lt;=5,IF(MOD(INT(($A11-1)/7)+'Calibración de turnos'!$D$21,2)=0,"M2","T2"),"L"),IF(MOD($A11-1,7)+1&lt;=5,IF('Calibración de turnos'!$E$21=13,"M3b","M3a"),"L")))</f>
        <v>L</v>
      </c>
      <c r="S11" s="63" t="str">
        <f aca="false">IF('Calibración de turnos'!$B$22="T1",MID("DDNNLL",MOD($A11-1+'Calibración de turnos'!$D$22,6)+1,1),IF('Calibración de turnos'!$B$22="T2",IF(MOD($A11-1,7)+1&lt;=5,IF(MOD(INT(($A11-1)/7)+'Calibración de turnos'!$D$22,2)=0,"M2","T2"),"L"),IF(MOD($A11-1,7)+1&lt;=5,IF('Calibración de turnos'!$E$22=13,"M3b","M3a"),"L")))</f>
        <v>L</v>
      </c>
      <c r="T11" s="63" t="str">
        <f aca="false">IF('Calibración de turnos'!$B$23="T1",MID("DDNNLL",MOD($A11-1+'Calibración de turnos'!$D$23,6)+1,1),IF('Calibración de turnos'!$B$23="T2",IF(MOD($A11-1,7)+1&lt;=5,IF(MOD(INT(($A11-1)/7)+'Calibración de turnos'!$D$23,2)=0,"M2","T2"),"L"),IF(MOD($A11-1,7)+1&lt;=5,IF('Calibración de turnos'!$E$23=13,"M3b","M3a"),"L")))</f>
        <v>L</v>
      </c>
      <c r="U11" s="63" t="str">
        <f aca="false">IF('Calibración de turnos'!$B$24="T1",MID("DDNNLL",MOD($A11-1+'Calibración de turnos'!$D$24,6)+1,1),IF('Calibración de turnos'!$B$24="T2",IF(MOD($A11-1,7)+1&lt;=5,IF(MOD(INT(($A11-1)/7)+'Calibración de turnos'!$D$24,2)=0,"M2","T2"),"L"),IF(MOD($A11-1,7)+1&lt;=5,IF('Calibración de turnos'!$E$24=13,"M3b","M3a"),"L")))</f>
        <v>L</v>
      </c>
      <c r="V11" s="63" t="str">
        <f aca="false">IF('Calibración de turnos'!$B$25="T1",MID("DDNNLL",MOD($A11-1+'Calibración de turnos'!$D$25,6)+1,1),IF('Calibración de turnos'!$B$25="T2",IF(MOD($A11-1,7)+1&lt;=5,IF(MOD(INT(($A11-1)/7)+'Calibración de turnos'!$D$25,2)=0,"M2","T2"),"L"),IF(MOD($A11-1,7)+1&lt;=5,IF('Calibración de turnos'!$E$25=13,"M3b","M3a"),"L")))</f>
        <v>L</v>
      </c>
    </row>
    <row r="12" customFormat="false" ht="15" hidden="false" customHeight="false" outlineLevel="0" collapsed="false">
      <c r="A12" s="18" t="n">
        <v>8</v>
      </c>
      <c r="B12" s="18" t="str">
        <f aca="false">CHOOSE(MOD(A12-1,7)+1,"lunes","martes","miércoles","jueves","viernes","sábado","domingo")</f>
        <v>lunes</v>
      </c>
      <c r="C12" s="63" t="str">
        <f aca="false">IF('Calibración de turnos'!$B$6="T1",MID("DDNNLL",MOD($A12-1+'Calibración de turnos'!$D$6,6)+1,1),IF('Calibración de turnos'!$B$6="T2",IF(MOD($A12-1,7)+1&lt;=5,IF(MOD(INT(($A12-1)/7)+'Calibración de turnos'!$D$6,2)=0,"M2","T2"),"L"),IF(MOD($A12-1,7)+1&lt;=5,IF('Calibración de turnos'!$E$6=13,"M3b","M3a"),"L")))</f>
        <v>D</v>
      </c>
      <c r="D12" s="63" t="str">
        <f aca="false">IF('Calibración de turnos'!$B$7="T1",MID("DDNNLL",MOD($A12-1+'Calibración de turnos'!$D$7,6)+1,1),IF('Calibración de turnos'!$B$7="T2",IF(MOD($A12-1,7)+1&lt;=5,IF(MOD(INT(($A12-1)/7)+'Calibración de turnos'!$D$7,2)=0,"M2","T2"),"L"),IF(MOD($A12-1,7)+1&lt;=5,IF('Calibración de turnos'!$E$7=13,"M3b","M3a"),"L")))</f>
        <v>N</v>
      </c>
      <c r="E12" s="63" t="str">
        <f aca="false">IF('Calibración de turnos'!$B$8="T1",MID("DDNNLL",MOD($A12-1+'Calibración de turnos'!$D$8,6)+1,1),IF('Calibración de turnos'!$B$8="T2",IF(MOD($A12-1,7)+1&lt;=5,IF(MOD(INT(($A12-1)/7)+'Calibración de turnos'!$D$8,2)=0,"M2","T2"),"L"),IF(MOD($A12-1,7)+1&lt;=5,IF('Calibración de turnos'!$E$8=13,"M3b","M3a"),"L")))</f>
        <v>D</v>
      </c>
      <c r="F12" s="63" t="str">
        <f aca="false">IF('Calibración de turnos'!$B$9="T1",MID("DDNNLL",MOD($A12-1+'Calibración de turnos'!$D$9,6)+1,1),IF('Calibración de turnos'!$B$9="T2",IF(MOD($A12-1,7)+1&lt;=5,IF(MOD(INT(($A12-1)/7)+'Calibración de turnos'!$D$9,2)=0,"M2","T2"),"L"),IF(MOD($A12-1,7)+1&lt;=5,IF('Calibración de turnos'!$E$9=13,"M3b","M3a"),"L")))</f>
        <v>N</v>
      </c>
      <c r="G12" s="63" t="str">
        <f aca="false">IF('Calibración de turnos'!$B$10="T1",MID("DDNNLL",MOD($A12-1+'Calibración de turnos'!$D$10,6)+1,1),IF('Calibración de turnos'!$B$10="T2",IF(MOD($A12-1,7)+1&lt;=5,IF(MOD(INT(($A12-1)/7)+'Calibración de turnos'!$D$10,2)=0,"M2","T2"),"L"),IF(MOD($A12-1,7)+1&lt;=5,IF('Calibración de turnos'!$E$10=13,"M3b","M3a"),"L")))</f>
        <v>L</v>
      </c>
      <c r="H12" s="63" t="str">
        <f aca="false">IF('Calibración de turnos'!$B$11="T1",MID("DDNNLL",MOD($A12-1+'Calibración de turnos'!$D$11,6)+1,1),IF('Calibración de turnos'!$B$11="T2",IF(MOD($A12-1,7)+1&lt;=5,IF(MOD(INT(($A12-1)/7)+'Calibración de turnos'!$D$11,2)=0,"M2","T2"),"L"),IF(MOD($A12-1,7)+1&lt;=5,IF('Calibración de turnos'!$E$11=13,"M3b","M3a"),"L")))</f>
        <v>L</v>
      </c>
      <c r="I12" s="63" t="str">
        <f aca="false">IF('Calibración de turnos'!$B$12="T1",MID("DDNNLL",MOD($A12-1+'Calibración de turnos'!$D$12,6)+1,1),IF('Calibración de turnos'!$B$12="T2",IF(MOD($A12-1,7)+1&lt;=5,IF(MOD(INT(($A12-1)/7)+'Calibración de turnos'!$D$12,2)=0,"M2","T2"),"L"),IF(MOD($A12-1,7)+1&lt;=5,IF('Calibración de turnos'!$E$12=13,"M3b","M3a"),"L")))</f>
        <v>T2</v>
      </c>
      <c r="J12" s="63" t="str">
        <f aca="false">IF('Calibración de turnos'!$B$13="T1",MID("DDNNLL",MOD($A12-1+'Calibración de turnos'!$D$13,6)+1,1),IF('Calibración de turnos'!$B$13="T2",IF(MOD($A12-1,7)+1&lt;=5,IF(MOD(INT(($A12-1)/7)+'Calibración de turnos'!$D$13,2)=0,"M2","T2"),"L"),IF(MOD($A12-1,7)+1&lt;=5,IF('Calibración de turnos'!$E$13=13,"M3b","M3a"),"L")))</f>
        <v>M2</v>
      </c>
      <c r="K12" s="63" t="str">
        <f aca="false">IF('Calibración de turnos'!$B$14="T1",MID("DDNNLL",MOD($A12-1+'Calibración de turnos'!$D$14,6)+1,1),IF('Calibración de turnos'!$B$14="T2",IF(MOD($A12-1,7)+1&lt;=5,IF(MOD(INT(($A12-1)/7)+'Calibración de turnos'!$D$14,2)=0,"M2","T2"),"L"),IF(MOD($A12-1,7)+1&lt;=5,IF('Calibración de turnos'!$E$14=13,"M3b","M3a"),"L")))</f>
        <v>T2</v>
      </c>
      <c r="L12" s="63" t="str">
        <f aca="false">IF('Calibración de turnos'!$B$15="T1",MID("DDNNLL",MOD($A12-1+'Calibración de turnos'!$D$15,6)+1,1),IF('Calibración de turnos'!$B$15="T2",IF(MOD($A12-1,7)+1&lt;=5,IF(MOD(INT(($A12-1)/7)+'Calibración de turnos'!$D$15,2)=0,"M2","T2"),"L"),IF(MOD($A12-1,7)+1&lt;=5,IF('Calibración de turnos'!$E$15=13,"M3b","M3a"),"L")))</f>
        <v>M2</v>
      </c>
      <c r="M12" s="63" t="str">
        <f aca="false">IF('Calibración de turnos'!$B$16="T1",MID("DDNNLL",MOD($A12-1+'Calibración de turnos'!$D$16,6)+1,1),IF('Calibración de turnos'!$B$16="T2",IF(MOD($A12-1,7)+1&lt;=5,IF(MOD(INT(($A12-1)/7)+'Calibración de turnos'!$D$16,2)=0,"M2","T2"),"L"),IF(MOD($A12-1,7)+1&lt;=5,IF('Calibración de turnos'!$E$16=13,"M3b","M3a"),"L")))</f>
        <v>M3a</v>
      </c>
      <c r="N12" s="63" t="str">
        <f aca="false">IF('Calibración de turnos'!$B$17="T1",MID("DDNNLL",MOD($A12-1+'Calibración de turnos'!$D$17,6)+1,1),IF('Calibración de turnos'!$B$17="T2",IF(MOD($A12-1,7)+1&lt;=5,IF(MOD(INT(($A12-1)/7)+'Calibración de turnos'!$D$17,2)=0,"M2","T2"),"L"),IF(MOD($A12-1,7)+1&lt;=5,IF('Calibración de turnos'!$E$17=13,"M3b","M3a"),"L")))</f>
        <v>M3a</v>
      </c>
      <c r="O12" s="63" t="str">
        <f aca="false">IF('Calibración de turnos'!$B$18="T1",MID("DDNNLL",MOD($A12-1+'Calibración de turnos'!$D$18,6)+1,1),IF('Calibración de turnos'!$B$18="T2",IF(MOD($A12-1,7)+1&lt;=5,IF(MOD(INT(($A12-1)/7)+'Calibración de turnos'!$D$18,2)=0,"M2","T2"),"L"),IF(MOD($A12-1,7)+1&lt;=5,IF('Calibración de turnos'!$E$18=13,"M3b","M3a"),"L")))</f>
        <v>M3b</v>
      </c>
      <c r="P12" s="63" t="str">
        <f aca="false">IF('Calibración de turnos'!$B$19="T1",MID("DDNNLL",MOD($A12-1+'Calibración de turnos'!$D$19,6)+1,1),IF('Calibración de turnos'!$B$19="T2",IF(MOD($A12-1,7)+1&lt;=5,IF(MOD(INT(($A12-1)/7)+'Calibración de turnos'!$D$19,2)=0,"M2","T2"),"L"),IF(MOD($A12-1,7)+1&lt;=5,IF('Calibración de turnos'!$E$19=13,"M3b","M3a"),"L")))</f>
        <v>M3a</v>
      </c>
      <c r="Q12" s="63" t="str">
        <f aca="false">IF('Calibración de turnos'!$B$20="T1",MID("DDNNLL",MOD($A12-1+'Calibración de turnos'!$D$20,6)+1,1),IF('Calibración de turnos'!$B$20="T2",IF(MOD($A12-1,7)+1&lt;=5,IF(MOD(INT(($A12-1)/7)+'Calibración de turnos'!$D$20,2)=0,"M2","T2"),"L"),IF(MOD($A12-1,7)+1&lt;=5,IF('Calibración de turnos'!$E$20=13,"M3b","M3a"),"L")))</f>
        <v>M3b</v>
      </c>
      <c r="R12" s="63" t="str">
        <f aca="false">IF('Calibración de turnos'!$B$21="T1",MID("DDNNLL",MOD($A12-1+'Calibración de turnos'!$D$21,6)+1,1),IF('Calibración de turnos'!$B$21="T2",IF(MOD($A12-1,7)+1&lt;=5,IF(MOD(INT(($A12-1)/7)+'Calibración de turnos'!$D$21,2)=0,"M2","T2"),"L"),IF(MOD($A12-1,7)+1&lt;=5,IF('Calibración de turnos'!$E$21=13,"M3b","M3a"),"L")))</f>
        <v>M3b</v>
      </c>
      <c r="S12" s="63" t="str">
        <f aca="false">IF('Calibración de turnos'!$B$22="T1",MID("DDNNLL",MOD($A12-1+'Calibración de turnos'!$D$22,6)+1,1),IF('Calibración de turnos'!$B$22="T2",IF(MOD($A12-1,7)+1&lt;=5,IF(MOD(INT(($A12-1)/7)+'Calibración de turnos'!$D$22,2)=0,"M2","T2"),"L"),IF(MOD($A12-1,7)+1&lt;=5,IF('Calibración de turnos'!$E$22=13,"M3b","M3a"),"L")))</f>
        <v>M3a</v>
      </c>
      <c r="T12" s="63" t="str">
        <f aca="false">IF('Calibración de turnos'!$B$23="T1",MID("DDNNLL",MOD($A12-1+'Calibración de turnos'!$D$23,6)+1,1),IF('Calibración de turnos'!$B$23="T2",IF(MOD($A12-1,7)+1&lt;=5,IF(MOD(INT(($A12-1)/7)+'Calibración de turnos'!$D$23,2)=0,"M2","T2"),"L"),IF(MOD($A12-1,7)+1&lt;=5,IF('Calibración de turnos'!$E$23=13,"M3b","M3a"),"L")))</f>
        <v>M3b</v>
      </c>
      <c r="U12" s="63" t="str">
        <f aca="false">IF('Calibración de turnos'!$B$24="T1",MID("DDNNLL",MOD($A12-1+'Calibración de turnos'!$D$24,6)+1,1),IF('Calibración de turnos'!$B$24="T2",IF(MOD($A12-1,7)+1&lt;=5,IF(MOD(INT(($A12-1)/7)+'Calibración de turnos'!$D$24,2)=0,"M2","T2"),"L"),IF(MOD($A12-1,7)+1&lt;=5,IF('Calibración de turnos'!$E$24=13,"M3b","M3a"),"L")))</f>
        <v>M3a</v>
      </c>
      <c r="V12" s="63" t="str">
        <f aca="false">IF('Calibración de turnos'!$B$25="T1",MID("DDNNLL",MOD($A12-1+'Calibración de turnos'!$D$25,6)+1,1),IF('Calibración de turnos'!$B$25="T2",IF(MOD($A12-1,7)+1&lt;=5,IF(MOD(INT(($A12-1)/7)+'Calibración de turnos'!$D$25,2)=0,"M2","T2"),"L"),IF(MOD($A12-1,7)+1&lt;=5,IF('Calibración de turnos'!$E$25=13,"M3b","M3a"),"L")))</f>
        <v>M3b</v>
      </c>
    </row>
    <row r="13" customFormat="false" ht="15" hidden="false" customHeight="false" outlineLevel="0" collapsed="false">
      <c r="A13" s="18" t="n">
        <v>9</v>
      </c>
      <c r="B13" s="18" t="str">
        <f aca="false">CHOOSE(MOD(A13-1,7)+1,"lunes","martes","miércoles","jueves","viernes","sábado","domingo")</f>
        <v>martes</v>
      </c>
      <c r="C13" s="63" t="str">
        <f aca="false">IF('Calibración de turnos'!$B$6="T1",MID("DDNNLL",MOD($A13-1+'Calibración de turnos'!$D$6,6)+1,1),IF('Calibración de turnos'!$B$6="T2",IF(MOD($A13-1,7)+1&lt;=5,IF(MOD(INT(($A13-1)/7)+'Calibración de turnos'!$D$6,2)=0,"M2","T2"),"L"),IF(MOD($A13-1,7)+1&lt;=5,IF('Calibración de turnos'!$E$6=13,"M3b","M3a"),"L")))</f>
        <v>N</v>
      </c>
      <c r="D13" s="63" t="str">
        <f aca="false">IF('Calibración de turnos'!$B$7="T1",MID("DDNNLL",MOD($A13-1+'Calibración de turnos'!$D$7,6)+1,1),IF('Calibración de turnos'!$B$7="T2",IF(MOD($A13-1,7)+1&lt;=5,IF(MOD(INT(($A13-1)/7)+'Calibración de turnos'!$D$7,2)=0,"M2","T2"),"L"),IF(MOD($A13-1,7)+1&lt;=5,IF('Calibración de turnos'!$E$7=13,"M3b","M3a"),"L")))</f>
        <v>L</v>
      </c>
      <c r="E13" s="63" t="str">
        <f aca="false">IF('Calibración de turnos'!$B$8="T1",MID("DDNNLL",MOD($A13-1+'Calibración de turnos'!$D$8,6)+1,1),IF('Calibración de turnos'!$B$8="T2",IF(MOD($A13-1,7)+1&lt;=5,IF(MOD(INT(($A13-1)/7)+'Calibración de turnos'!$D$8,2)=0,"M2","T2"),"L"),IF(MOD($A13-1,7)+1&lt;=5,IF('Calibración de turnos'!$E$8=13,"M3b","M3a"),"L")))</f>
        <v>N</v>
      </c>
      <c r="F13" s="63" t="str">
        <f aca="false">IF('Calibración de turnos'!$B$9="T1",MID("DDNNLL",MOD($A13-1+'Calibración de turnos'!$D$9,6)+1,1),IF('Calibración de turnos'!$B$9="T2",IF(MOD($A13-1,7)+1&lt;=5,IF(MOD(INT(($A13-1)/7)+'Calibración de turnos'!$D$9,2)=0,"M2","T2"),"L"),IF(MOD($A13-1,7)+1&lt;=5,IF('Calibración de turnos'!$E$9=13,"M3b","M3a"),"L")))</f>
        <v>L</v>
      </c>
      <c r="G13" s="63" t="str">
        <f aca="false">IF('Calibración de turnos'!$B$10="T1",MID("DDNNLL",MOD($A13-1+'Calibración de turnos'!$D$10,6)+1,1),IF('Calibración de turnos'!$B$10="T2",IF(MOD($A13-1,7)+1&lt;=5,IF(MOD(INT(($A13-1)/7)+'Calibración de turnos'!$D$10,2)=0,"M2","T2"),"L"),IF(MOD($A13-1,7)+1&lt;=5,IF('Calibración de turnos'!$E$10=13,"M3b","M3a"),"L")))</f>
        <v>D</v>
      </c>
      <c r="H13" s="63" t="str">
        <f aca="false">IF('Calibración de turnos'!$B$11="T1",MID("DDNNLL",MOD($A13-1+'Calibración de turnos'!$D$11,6)+1,1),IF('Calibración de turnos'!$B$11="T2",IF(MOD($A13-1,7)+1&lt;=5,IF(MOD(INT(($A13-1)/7)+'Calibración de turnos'!$D$11,2)=0,"M2","T2"),"L"),IF(MOD($A13-1,7)+1&lt;=5,IF('Calibración de turnos'!$E$11=13,"M3b","M3a"),"L")))</f>
        <v>D</v>
      </c>
      <c r="I13" s="63" t="str">
        <f aca="false">IF('Calibración de turnos'!$B$12="T1",MID("DDNNLL",MOD($A13-1+'Calibración de turnos'!$D$12,6)+1,1),IF('Calibración de turnos'!$B$12="T2",IF(MOD($A13-1,7)+1&lt;=5,IF(MOD(INT(($A13-1)/7)+'Calibración de turnos'!$D$12,2)=0,"M2","T2"),"L"),IF(MOD($A13-1,7)+1&lt;=5,IF('Calibración de turnos'!$E$12=13,"M3b","M3a"),"L")))</f>
        <v>T2</v>
      </c>
      <c r="J13" s="63" t="str">
        <f aca="false">IF('Calibración de turnos'!$B$13="T1",MID("DDNNLL",MOD($A13-1+'Calibración de turnos'!$D$13,6)+1,1),IF('Calibración de turnos'!$B$13="T2",IF(MOD($A13-1,7)+1&lt;=5,IF(MOD(INT(($A13-1)/7)+'Calibración de turnos'!$D$13,2)=0,"M2","T2"),"L"),IF(MOD($A13-1,7)+1&lt;=5,IF('Calibración de turnos'!$E$13=13,"M3b","M3a"),"L")))</f>
        <v>M2</v>
      </c>
      <c r="K13" s="63" t="str">
        <f aca="false">IF('Calibración de turnos'!$B$14="T1",MID("DDNNLL",MOD($A13-1+'Calibración de turnos'!$D$14,6)+1,1),IF('Calibración de turnos'!$B$14="T2",IF(MOD($A13-1,7)+1&lt;=5,IF(MOD(INT(($A13-1)/7)+'Calibración de turnos'!$D$14,2)=0,"M2","T2"),"L"),IF(MOD($A13-1,7)+1&lt;=5,IF('Calibración de turnos'!$E$14=13,"M3b","M3a"),"L")))</f>
        <v>T2</v>
      </c>
      <c r="L13" s="63" t="str">
        <f aca="false">IF('Calibración de turnos'!$B$15="T1",MID("DDNNLL",MOD($A13-1+'Calibración de turnos'!$D$15,6)+1,1),IF('Calibración de turnos'!$B$15="T2",IF(MOD($A13-1,7)+1&lt;=5,IF(MOD(INT(($A13-1)/7)+'Calibración de turnos'!$D$15,2)=0,"M2","T2"),"L"),IF(MOD($A13-1,7)+1&lt;=5,IF('Calibración de turnos'!$E$15=13,"M3b","M3a"),"L")))</f>
        <v>M2</v>
      </c>
      <c r="M13" s="63" t="str">
        <f aca="false">IF('Calibración de turnos'!$B$16="T1",MID("DDNNLL",MOD($A13-1+'Calibración de turnos'!$D$16,6)+1,1),IF('Calibración de turnos'!$B$16="T2",IF(MOD($A13-1,7)+1&lt;=5,IF(MOD(INT(($A13-1)/7)+'Calibración de turnos'!$D$16,2)=0,"M2","T2"),"L"),IF(MOD($A13-1,7)+1&lt;=5,IF('Calibración de turnos'!$E$16=13,"M3b","M3a"),"L")))</f>
        <v>M3a</v>
      </c>
      <c r="N13" s="63" t="str">
        <f aca="false">IF('Calibración de turnos'!$B$17="T1",MID("DDNNLL",MOD($A13-1+'Calibración de turnos'!$D$17,6)+1,1),IF('Calibración de turnos'!$B$17="T2",IF(MOD($A13-1,7)+1&lt;=5,IF(MOD(INT(($A13-1)/7)+'Calibración de turnos'!$D$17,2)=0,"M2","T2"),"L"),IF(MOD($A13-1,7)+1&lt;=5,IF('Calibración de turnos'!$E$17=13,"M3b","M3a"),"L")))</f>
        <v>M3a</v>
      </c>
      <c r="O13" s="63" t="str">
        <f aca="false">IF('Calibración de turnos'!$B$18="T1",MID("DDNNLL",MOD($A13-1+'Calibración de turnos'!$D$18,6)+1,1),IF('Calibración de turnos'!$B$18="T2",IF(MOD($A13-1,7)+1&lt;=5,IF(MOD(INT(($A13-1)/7)+'Calibración de turnos'!$D$18,2)=0,"M2","T2"),"L"),IF(MOD($A13-1,7)+1&lt;=5,IF('Calibración de turnos'!$E$18=13,"M3b","M3a"),"L")))</f>
        <v>M3b</v>
      </c>
      <c r="P13" s="63" t="str">
        <f aca="false">IF('Calibración de turnos'!$B$19="T1",MID("DDNNLL",MOD($A13-1+'Calibración de turnos'!$D$19,6)+1,1),IF('Calibración de turnos'!$B$19="T2",IF(MOD($A13-1,7)+1&lt;=5,IF(MOD(INT(($A13-1)/7)+'Calibración de turnos'!$D$19,2)=0,"M2","T2"),"L"),IF(MOD($A13-1,7)+1&lt;=5,IF('Calibración de turnos'!$E$19=13,"M3b","M3a"),"L")))</f>
        <v>M3a</v>
      </c>
      <c r="Q13" s="63" t="str">
        <f aca="false">IF('Calibración de turnos'!$B$20="T1",MID("DDNNLL",MOD($A13-1+'Calibración de turnos'!$D$20,6)+1,1),IF('Calibración de turnos'!$B$20="T2",IF(MOD($A13-1,7)+1&lt;=5,IF(MOD(INT(($A13-1)/7)+'Calibración de turnos'!$D$20,2)=0,"M2","T2"),"L"),IF(MOD($A13-1,7)+1&lt;=5,IF('Calibración de turnos'!$E$20=13,"M3b","M3a"),"L")))</f>
        <v>M3b</v>
      </c>
      <c r="R13" s="63" t="str">
        <f aca="false">IF('Calibración de turnos'!$B$21="T1",MID("DDNNLL",MOD($A13-1+'Calibración de turnos'!$D$21,6)+1,1),IF('Calibración de turnos'!$B$21="T2",IF(MOD($A13-1,7)+1&lt;=5,IF(MOD(INT(($A13-1)/7)+'Calibración de turnos'!$D$21,2)=0,"M2","T2"),"L"),IF(MOD($A13-1,7)+1&lt;=5,IF('Calibración de turnos'!$E$21=13,"M3b","M3a"),"L")))</f>
        <v>M3b</v>
      </c>
      <c r="S13" s="63" t="str">
        <f aca="false">IF('Calibración de turnos'!$B$22="T1",MID("DDNNLL",MOD($A13-1+'Calibración de turnos'!$D$22,6)+1,1),IF('Calibración de turnos'!$B$22="T2",IF(MOD($A13-1,7)+1&lt;=5,IF(MOD(INT(($A13-1)/7)+'Calibración de turnos'!$D$22,2)=0,"M2","T2"),"L"),IF(MOD($A13-1,7)+1&lt;=5,IF('Calibración de turnos'!$E$22=13,"M3b","M3a"),"L")))</f>
        <v>M3a</v>
      </c>
      <c r="T13" s="63" t="str">
        <f aca="false">IF('Calibración de turnos'!$B$23="T1",MID("DDNNLL",MOD($A13-1+'Calibración de turnos'!$D$23,6)+1,1),IF('Calibración de turnos'!$B$23="T2",IF(MOD($A13-1,7)+1&lt;=5,IF(MOD(INT(($A13-1)/7)+'Calibración de turnos'!$D$23,2)=0,"M2","T2"),"L"),IF(MOD($A13-1,7)+1&lt;=5,IF('Calibración de turnos'!$E$23=13,"M3b","M3a"),"L")))</f>
        <v>M3b</v>
      </c>
      <c r="U13" s="63" t="str">
        <f aca="false">IF('Calibración de turnos'!$B$24="T1",MID("DDNNLL",MOD($A13-1+'Calibración de turnos'!$D$24,6)+1,1),IF('Calibración de turnos'!$B$24="T2",IF(MOD($A13-1,7)+1&lt;=5,IF(MOD(INT(($A13-1)/7)+'Calibración de turnos'!$D$24,2)=0,"M2","T2"),"L"),IF(MOD($A13-1,7)+1&lt;=5,IF('Calibración de turnos'!$E$24=13,"M3b","M3a"),"L")))</f>
        <v>M3a</v>
      </c>
      <c r="V13" s="63" t="str">
        <f aca="false">IF('Calibración de turnos'!$B$25="T1",MID("DDNNLL",MOD($A13-1+'Calibración de turnos'!$D$25,6)+1,1),IF('Calibración de turnos'!$B$25="T2",IF(MOD($A13-1,7)+1&lt;=5,IF(MOD(INT(($A13-1)/7)+'Calibración de turnos'!$D$25,2)=0,"M2","T2"),"L"),IF(MOD($A13-1,7)+1&lt;=5,IF('Calibración de turnos'!$E$25=13,"M3b","M3a"),"L")))</f>
        <v>M3b</v>
      </c>
    </row>
    <row r="14" customFormat="false" ht="15" hidden="false" customHeight="false" outlineLevel="0" collapsed="false">
      <c r="A14" s="18" t="n">
        <v>10</v>
      </c>
      <c r="B14" s="18" t="str">
        <f aca="false">CHOOSE(MOD(A14-1,7)+1,"lunes","martes","miércoles","jueves","viernes","sábado","domingo")</f>
        <v>miércoles</v>
      </c>
      <c r="C14" s="63" t="str">
        <f aca="false">IF('Calibración de turnos'!$B$6="T1",MID("DDNNLL",MOD($A14-1+'Calibración de turnos'!$D$6,6)+1,1),IF('Calibración de turnos'!$B$6="T2",IF(MOD($A14-1,7)+1&lt;=5,IF(MOD(INT(($A14-1)/7)+'Calibración de turnos'!$D$6,2)=0,"M2","T2"),"L"),IF(MOD($A14-1,7)+1&lt;=5,IF('Calibración de turnos'!$E$6=13,"M3b","M3a"),"L")))</f>
        <v>N</v>
      </c>
      <c r="D14" s="63" t="str">
        <f aca="false">IF('Calibración de turnos'!$B$7="T1",MID("DDNNLL",MOD($A14-1+'Calibración de turnos'!$D$7,6)+1,1),IF('Calibración de turnos'!$B$7="T2",IF(MOD($A14-1,7)+1&lt;=5,IF(MOD(INT(($A14-1)/7)+'Calibración de turnos'!$D$7,2)=0,"M2","T2"),"L"),IF(MOD($A14-1,7)+1&lt;=5,IF('Calibración de turnos'!$E$7=13,"M3b","M3a"),"L")))</f>
        <v>L</v>
      </c>
      <c r="E14" s="63" t="str">
        <f aca="false">IF('Calibración de turnos'!$B$8="T1",MID("DDNNLL",MOD($A14-1+'Calibración de turnos'!$D$8,6)+1,1),IF('Calibración de turnos'!$B$8="T2",IF(MOD($A14-1,7)+1&lt;=5,IF(MOD(INT(($A14-1)/7)+'Calibración de turnos'!$D$8,2)=0,"M2","T2"),"L"),IF(MOD($A14-1,7)+1&lt;=5,IF('Calibración de turnos'!$E$8=13,"M3b","M3a"),"L")))</f>
        <v>N</v>
      </c>
      <c r="F14" s="63" t="str">
        <f aca="false">IF('Calibración de turnos'!$B$9="T1",MID("DDNNLL",MOD($A14-1+'Calibración de turnos'!$D$9,6)+1,1),IF('Calibración de turnos'!$B$9="T2",IF(MOD($A14-1,7)+1&lt;=5,IF(MOD(INT(($A14-1)/7)+'Calibración de turnos'!$D$9,2)=0,"M2","T2"),"L"),IF(MOD($A14-1,7)+1&lt;=5,IF('Calibración de turnos'!$E$9=13,"M3b","M3a"),"L")))</f>
        <v>L</v>
      </c>
      <c r="G14" s="63" t="str">
        <f aca="false">IF('Calibración de turnos'!$B$10="T1",MID("DDNNLL",MOD($A14-1+'Calibración de turnos'!$D$10,6)+1,1),IF('Calibración de turnos'!$B$10="T2",IF(MOD($A14-1,7)+1&lt;=5,IF(MOD(INT(($A14-1)/7)+'Calibración de turnos'!$D$10,2)=0,"M2","T2"),"L"),IF(MOD($A14-1,7)+1&lt;=5,IF('Calibración de turnos'!$E$10=13,"M3b","M3a"),"L")))</f>
        <v>D</v>
      </c>
      <c r="H14" s="63" t="str">
        <f aca="false">IF('Calibración de turnos'!$B$11="T1",MID("DDNNLL",MOD($A14-1+'Calibración de turnos'!$D$11,6)+1,1),IF('Calibración de turnos'!$B$11="T2",IF(MOD($A14-1,7)+1&lt;=5,IF(MOD(INT(($A14-1)/7)+'Calibración de turnos'!$D$11,2)=0,"M2","T2"),"L"),IF(MOD($A14-1,7)+1&lt;=5,IF('Calibración de turnos'!$E$11=13,"M3b","M3a"),"L")))</f>
        <v>D</v>
      </c>
      <c r="I14" s="63" t="str">
        <f aca="false">IF('Calibración de turnos'!$B$12="T1",MID("DDNNLL",MOD($A14-1+'Calibración de turnos'!$D$12,6)+1,1),IF('Calibración de turnos'!$B$12="T2",IF(MOD($A14-1,7)+1&lt;=5,IF(MOD(INT(($A14-1)/7)+'Calibración de turnos'!$D$12,2)=0,"M2","T2"),"L"),IF(MOD($A14-1,7)+1&lt;=5,IF('Calibración de turnos'!$E$12=13,"M3b","M3a"),"L")))</f>
        <v>T2</v>
      </c>
      <c r="J14" s="63" t="str">
        <f aca="false">IF('Calibración de turnos'!$B$13="T1",MID("DDNNLL",MOD($A14-1+'Calibración de turnos'!$D$13,6)+1,1),IF('Calibración de turnos'!$B$13="T2",IF(MOD($A14-1,7)+1&lt;=5,IF(MOD(INT(($A14-1)/7)+'Calibración de turnos'!$D$13,2)=0,"M2","T2"),"L"),IF(MOD($A14-1,7)+1&lt;=5,IF('Calibración de turnos'!$E$13=13,"M3b","M3a"),"L")))</f>
        <v>M2</v>
      </c>
      <c r="K14" s="63" t="str">
        <f aca="false">IF('Calibración de turnos'!$B$14="T1",MID("DDNNLL",MOD($A14-1+'Calibración de turnos'!$D$14,6)+1,1),IF('Calibración de turnos'!$B$14="T2",IF(MOD($A14-1,7)+1&lt;=5,IF(MOD(INT(($A14-1)/7)+'Calibración de turnos'!$D$14,2)=0,"M2","T2"),"L"),IF(MOD($A14-1,7)+1&lt;=5,IF('Calibración de turnos'!$E$14=13,"M3b","M3a"),"L")))</f>
        <v>T2</v>
      </c>
      <c r="L14" s="63" t="str">
        <f aca="false">IF('Calibración de turnos'!$B$15="T1",MID("DDNNLL",MOD($A14-1+'Calibración de turnos'!$D$15,6)+1,1),IF('Calibración de turnos'!$B$15="T2",IF(MOD($A14-1,7)+1&lt;=5,IF(MOD(INT(($A14-1)/7)+'Calibración de turnos'!$D$15,2)=0,"M2","T2"),"L"),IF(MOD($A14-1,7)+1&lt;=5,IF('Calibración de turnos'!$E$15=13,"M3b","M3a"),"L")))</f>
        <v>M2</v>
      </c>
      <c r="M14" s="63" t="str">
        <f aca="false">IF('Calibración de turnos'!$B$16="T1",MID("DDNNLL",MOD($A14-1+'Calibración de turnos'!$D$16,6)+1,1),IF('Calibración de turnos'!$B$16="T2",IF(MOD($A14-1,7)+1&lt;=5,IF(MOD(INT(($A14-1)/7)+'Calibración de turnos'!$D$16,2)=0,"M2","T2"),"L"),IF(MOD($A14-1,7)+1&lt;=5,IF('Calibración de turnos'!$E$16=13,"M3b","M3a"),"L")))</f>
        <v>M3a</v>
      </c>
      <c r="N14" s="63" t="str">
        <f aca="false">IF('Calibración de turnos'!$B$17="T1",MID("DDNNLL",MOD($A14-1+'Calibración de turnos'!$D$17,6)+1,1),IF('Calibración de turnos'!$B$17="T2",IF(MOD($A14-1,7)+1&lt;=5,IF(MOD(INT(($A14-1)/7)+'Calibración de turnos'!$D$17,2)=0,"M2","T2"),"L"),IF(MOD($A14-1,7)+1&lt;=5,IF('Calibración de turnos'!$E$17=13,"M3b","M3a"),"L")))</f>
        <v>M3a</v>
      </c>
      <c r="O14" s="63" t="str">
        <f aca="false">IF('Calibración de turnos'!$B$18="T1",MID("DDNNLL",MOD($A14-1+'Calibración de turnos'!$D$18,6)+1,1),IF('Calibración de turnos'!$B$18="T2",IF(MOD($A14-1,7)+1&lt;=5,IF(MOD(INT(($A14-1)/7)+'Calibración de turnos'!$D$18,2)=0,"M2","T2"),"L"),IF(MOD($A14-1,7)+1&lt;=5,IF('Calibración de turnos'!$E$18=13,"M3b","M3a"),"L")))</f>
        <v>M3b</v>
      </c>
      <c r="P14" s="63" t="str">
        <f aca="false">IF('Calibración de turnos'!$B$19="T1",MID("DDNNLL",MOD($A14-1+'Calibración de turnos'!$D$19,6)+1,1),IF('Calibración de turnos'!$B$19="T2",IF(MOD($A14-1,7)+1&lt;=5,IF(MOD(INT(($A14-1)/7)+'Calibración de turnos'!$D$19,2)=0,"M2","T2"),"L"),IF(MOD($A14-1,7)+1&lt;=5,IF('Calibración de turnos'!$E$19=13,"M3b","M3a"),"L")))</f>
        <v>M3a</v>
      </c>
      <c r="Q14" s="63" t="str">
        <f aca="false">IF('Calibración de turnos'!$B$20="T1",MID("DDNNLL",MOD($A14-1+'Calibración de turnos'!$D$20,6)+1,1),IF('Calibración de turnos'!$B$20="T2",IF(MOD($A14-1,7)+1&lt;=5,IF(MOD(INT(($A14-1)/7)+'Calibración de turnos'!$D$20,2)=0,"M2","T2"),"L"),IF(MOD($A14-1,7)+1&lt;=5,IF('Calibración de turnos'!$E$20=13,"M3b","M3a"),"L")))</f>
        <v>M3b</v>
      </c>
      <c r="R14" s="63" t="str">
        <f aca="false">IF('Calibración de turnos'!$B$21="T1",MID("DDNNLL",MOD($A14-1+'Calibración de turnos'!$D$21,6)+1,1),IF('Calibración de turnos'!$B$21="T2",IF(MOD($A14-1,7)+1&lt;=5,IF(MOD(INT(($A14-1)/7)+'Calibración de turnos'!$D$21,2)=0,"M2","T2"),"L"),IF(MOD($A14-1,7)+1&lt;=5,IF('Calibración de turnos'!$E$21=13,"M3b","M3a"),"L")))</f>
        <v>M3b</v>
      </c>
      <c r="S14" s="63" t="str">
        <f aca="false">IF('Calibración de turnos'!$B$22="T1",MID("DDNNLL",MOD($A14-1+'Calibración de turnos'!$D$22,6)+1,1),IF('Calibración de turnos'!$B$22="T2",IF(MOD($A14-1,7)+1&lt;=5,IF(MOD(INT(($A14-1)/7)+'Calibración de turnos'!$D$22,2)=0,"M2","T2"),"L"),IF(MOD($A14-1,7)+1&lt;=5,IF('Calibración de turnos'!$E$22=13,"M3b","M3a"),"L")))</f>
        <v>M3a</v>
      </c>
      <c r="T14" s="63" t="str">
        <f aca="false">IF('Calibración de turnos'!$B$23="T1",MID("DDNNLL",MOD($A14-1+'Calibración de turnos'!$D$23,6)+1,1),IF('Calibración de turnos'!$B$23="T2",IF(MOD($A14-1,7)+1&lt;=5,IF(MOD(INT(($A14-1)/7)+'Calibración de turnos'!$D$23,2)=0,"M2","T2"),"L"),IF(MOD($A14-1,7)+1&lt;=5,IF('Calibración de turnos'!$E$23=13,"M3b","M3a"),"L")))</f>
        <v>M3b</v>
      </c>
      <c r="U14" s="63" t="str">
        <f aca="false">IF('Calibración de turnos'!$B$24="T1",MID("DDNNLL",MOD($A14-1+'Calibración de turnos'!$D$24,6)+1,1),IF('Calibración de turnos'!$B$24="T2",IF(MOD($A14-1,7)+1&lt;=5,IF(MOD(INT(($A14-1)/7)+'Calibración de turnos'!$D$24,2)=0,"M2","T2"),"L"),IF(MOD($A14-1,7)+1&lt;=5,IF('Calibración de turnos'!$E$24=13,"M3b","M3a"),"L")))</f>
        <v>M3a</v>
      </c>
      <c r="V14" s="63" t="str">
        <f aca="false">IF('Calibración de turnos'!$B$25="T1",MID("DDNNLL",MOD($A14-1+'Calibración de turnos'!$D$25,6)+1,1),IF('Calibración de turnos'!$B$25="T2",IF(MOD($A14-1,7)+1&lt;=5,IF(MOD(INT(($A14-1)/7)+'Calibración de turnos'!$D$25,2)=0,"M2","T2"),"L"),IF(MOD($A14-1,7)+1&lt;=5,IF('Calibración de turnos'!$E$25=13,"M3b","M3a"),"L")))</f>
        <v>M3b</v>
      </c>
    </row>
    <row r="15" customFormat="false" ht="15" hidden="false" customHeight="false" outlineLevel="0" collapsed="false">
      <c r="A15" s="18" t="n">
        <v>11</v>
      </c>
      <c r="B15" s="18" t="str">
        <f aca="false">CHOOSE(MOD(A15-1,7)+1,"lunes","martes","miércoles","jueves","viernes","sábado","domingo")</f>
        <v>jueves</v>
      </c>
      <c r="C15" s="63" t="str">
        <f aca="false">IF('Calibración de turnos'!$B$6="T1",MID("DDNNLL",MOD($A15-1+'Calibración de turnos'!$D$6,6)+1,1),IF('Calibración de turnos'!$B$6="T2",IF(MOD($A15-1,7)+1&lt;=5,IF(MOD(INT(($A15-1)/7)+'Calibración de turnos'!$D$6,2)=0,"M2","T2"),"L"),IF(MOD($A15-1,7)+1&lt;=5,IF('Calibración de turnos'!$E$6=13,"M3b","M3a"),"L")))</f>
        <v>L</v>
      </c>
      <c r="D15" s="63" t="str">
        <f aca="false">IF('Calibración de turnos'!$B$7="T1",MID("DDNNLL",MOD($A15-1+'Calibración de turnos'!$D$7,6)+1,1),IF('Calibración de turnos'!$B$7="T2",IF(MOD($A15-1,7)+1&lt;=5,IF(MOD(INT(($A15-1)/7)+'Calibración de turnos'!$D$7,2)=0,"M2","T2"),"L"),IF(MOD($A15-1,7)+1&lt;=5,IF('Calibración de turnos'!$E$7=13,"M3b","M3a"),"L")))</f>
        <v>D</v>
      </c>
      <c r="E15" s="63" t="str">
        <f aca="false">IF('Calibración de turnos'!$B$8="T1",MID("DDNNLL",MOD($A15-1+'Calibración de turnos'!$D$8,6)+1,1),IF('Calibración de turnos'!$B$8="T2",IF(MOD($A15-1,7)+1&lt;=5,IF(MOD(INT(($A15-1)/7)+'Calibración de turnos'!$D$8,2)=0,"M2","T2"),"L"),IF(MOD($A15-1,7)+1&lt;=5,IF('Calibración de turnos'!$E$8=13,"M3b","M3a"),"L")))</f>
        <v>L</v>
      </c>
      <c r="F15" s="63" t="str">
        <f aca="false">IF('Calibración de turnos'!$B$9="T1",MID("DDNNLL",MOD($A15-1+'Calibración de turnos'!$D$9,6)+1,1),IF('Calibración de turnos'!$B$9="T2",IF(MOD($A15-1,7)+1&lt;=5,IF(MOD(INT(($A15-1)/7)+'Calibración de turnos'!$D$9,2)=0,"M2","T2"),"L"),IF(MOD($A15-1,7)+1&lt;=5,IF('Calibración de turnos'!$E$9=13,"M3b","M3a"),"L")))</f>
        <v>D</v>
      </c>
      <c r="G15" s="63" t="str">
        <f aca="false">IF('Calibración de turnos'!$B$10="T1",MID("DDNNLL",MOD($A15-1+'Calibración de turnos'!$D$10,6)+1,1),IF('Calibración de turnos'!$B$10="T2",IF(MOD($A15-1,7)+1&lt;=5,IF(MOD(INT(($A15-1)/7)+'Calibración de turnos'!$D$10,2)=0,"M2","T2"),"L"),IF(MOD($A15-1,7)+1&lt;=5,IF('Calibración de turnos'!$E$10=13,"M3b","M3a"),"L")))</f>
        <v>N</v>
      </c>
      <c r="H15" s="63" t="str">
        <f aca="false">IF('Calibración de turnos'!$B$11="T1",MID("DDNNLL",MOD($A15-1+'Calibración de turnos'!$D$11,6)+1,1),IF('Calibración de turnos'!$B$11="T2",IF(MOD($A15-1,7)+1&lt;=5,IF(MOD(INT(($A15-1)/7)+'Calibración de turnos'!$D$11,2)=0,"M2","T2"),"L"),IF(MOD($A15-1,7)+1&lt;=5,IF('Calibración de turnos'!$E$11=13,"M3b","M3a"),"L")))</f>
        <v>N</v>
      </c>
      <c r="I15" s="63" t="str">
        <f aca="false">IF('Calibración de turnos'!$B$12="T1",MID("DDNNLL",MOD($A15-1+'Calibración de turnos'!$D$12,6)+1,1),IF('Calibración de turnos'!$B$12="T2",IF(MOD($A15-1,7)+1&lt;=5,IF(MOD(INT(($A15-1)/7)+'Calibración de turnos'!$D$12,2)=0,"M2","T2"),"L"),IF(MOD($A15-1,7)+1&lt;=5,IF('Calibración de turnos'!$E$12=13,"M3b","M3a"),"L")))</f>
        <v>T2</v>
      </c>
      <c r="J15" s="63" t="str">
        <f aca="false">IF('Calibración de turnos'!$B$13="T1",MID("DDNNLL",MOD($A15-1+'Calibración de turnos'!$D$13,6)+1,1),IF('Calibración de turnos'!$B$13="T2",IF(MOD($A15-1,7)+1&lt;=5,IF(MOD(INT(($A15-1)/7)+'Calibración de turnos'!$D$13,2)=0,"M2","T2"),"L"),IF(MOD($A15-1,7)+1&lt;=5,IF('Calibración de turnos'!$E$13=13,"M3b","M3a"),"L")))</f>
        <v>M2</v>
      </c>
      <c r="K15" s="63" t="str">
        <f aca="false">IF('Calibración de turnos'!$B$14="T1",MID("DDNNLL",MOD($A15-1+'Calibración de turnos'!$D$14,6)+1,1),IF('Calibración de turnos'!$B$14="T2",IF(MOD($A15-1,7)+1&lt;=5,IF(MOD(INT(($A15-1)/7)+'Calibración de turnos'!$D$14,2)=0,"M2","T2"),"L"),IF(MOD($A15-1,7)+1&lt;=5,IF('Calibración de turnos'!$E$14=13,"M3b","M3a"),"L")))</f>
        <v>T2</v>
      </c>
      <c r="L15" s="63" t="str">
        <f aca="false">IF('Calibración de turnos'!$B$15="T1",MID("DDNNLL",MOD($A15-1+'Calibración de turnos'!$D$15,6)+1,1),IF('Calibración de turnos'!$B$15="T2",IF(MOD($A15-1,7)+1&lt;=5,IF(MOD(INT(($A15-1)/7)+'Calibración de turnos'!$D$15,2)=0,"M2","T2"),"L"),IF(MOD($A15-1,7)+1&lt;=5,IF('Calibración de turnos'!$E$15=13,"M3b","M3a"),"L")))</f>
        <v>M2</v>
      </c>
      <c r="M15" s="63" t="str">
        <f aca="false">IF('Calibración de turnos'!$B$16="T1",MID("DDNNLL",MOD($A15-1+'Calibración de turnos'!$D$16,6)+1,1),IF('Calibración de turnos'!$B$16="T2",IF(MOD($A15-1,7)+1&lt;=5,IF(MOD(INT(($A15-1)/7)+'Calibración de turnos'!$D$16,2)=0,"M2","T2"),"L"),IF(MOD($A15-1,7)+1&lt;=5,IF('Calibración de turnos'!$E$16=13,"M3b","M3a"),"L")))</f>
        <v>M3a</v>
      </c>
      <c r="N15" s="63" t="str">
        <f aca="false">IF('Calibración de turnos'!$B$17="T1",MID("DDNNLL",MOD($A15-1+'Calibración de turnos'!$D$17,6)+1,1),IF('Calibración de turnos'!$B$17="T2",IF(MOD($A15-1,7)+1&lt;=5,IF(MOD(INT(($A15-1)/7)+'Calibración de turnos'!$D$17,2)=0,"M2","T2"),"L"),IF(MOD($A15-1,7)+1&lt;=5,IF('Calibración de turnos'!$E$17=13,"M3b","M3a"),"L")))</f>
        <v>M3a</v>
      </c>
      <c r="O15" s="63" t="str">
        <f aca="false">IF('Calibración de turnos'!$B$18="T1",MID("DDNNLL",MOD($A15-1+'Calibración de turnos'!$D$18,6)+1,1),IF('Calibración de turnos'!$B$18="T2",IF(MOD($A15-1,7)+1&lt;=5,IF(MOD(INT(($A15-1)/7)+'Calibración de turnos'!$D$18,2)=0,"M2","T2"),"L"),IF(MOD($A15-1,7)+1&lt;=5,IF('Calibración de turnos'!$E$18=13,"M3b","M3a"),"L")))</f>
        <v>M3b</v>
      </c>
      <c r="P15" s="63" t="str">
        <f aca="false">IF('Calibración de turnos'!$B$19="T1",MID("DDNNLL",MOD($A15-1+'Calibración de turnos'!$D$19,6)+1,1),IF('Calibración de turnos'!$B$19="T2",IF(MOD($A15-1,7)+1&lt;=5,IF(MOD(INT(($A15-1)/7)+'Calibración de turnos'!$D$19,2)=0,"M2","T2"),"L"),IF(MOD($A15-1,7)+1&lt;=5,IF('Calibración de turnos'!$E$19=13,"M3b","M3a"),"L")))</f>
        <v>M3a</v>
      </c>
      <c r="Q15" s="63" t="str">
        <f aca="false">IF('Calibración de turnos'!$B$20="T1",MID("DDNNLL",MOD($A15-1+'Calibración de turnos'!$D$20,6)+1,1),IF('Calibración de turnos'!$B$20="T2",IF(MOD($A15-1,7)+1&lt;=5,IF(MOD(INT(($A15-1)/7)+'Calibración de turnos'!$D$20,2)=0,"M2","T2"),"L"),IF(MOD($A15-1,7)+1&lt;=5,IF('Calibración de turnos'!$E$20=13,"M3b","M3a"),"L")))</f>
        <v>M3b</v>
      </c>
      <c r="R15" s="63" t="str">
        <f aca="false">IF('Calibración de turnos'!$B$21="T1",MID("DDNNLL",MOD($A15-1+'Calibración de turnos'!$D$21,6)+1,1),IF('Calibración de turnos'!$B$21="T2",IF(MOD($A15-1,7)+1&lt;=5,IF(MOD(INT(($A15-1)/7)+'Calibración de turnos'!$D$21,2)=0,"M2","T2"),"L"),IF(MOD($A15-1,7)+1&lt;=5,IF('Calibración de turnos'!$E$21=13,"M3b","M3a"),"L")))</f>
        <v>M3b</v>
      </c>
      <c r="S15" s="63" t="str">
        <f aca="false">IF('Calibración de turnos'!$B$22="T1",MID("DDNNLL",MOD($A15-1+'Calibración de turnos'!$D$22,6)+1,1),IF('Calibración de turnos'!$B$22="T2",IF(MOD($A15-1,7)+1&lt;=5,IF(MOD(INT(($A15-1)/7)+'Calibración de turnos'!$D$22,2)=0,"M2","T2"),"L"),IF(MOD($A15-1,7)+1&lt;=5,IF('Calibración de turnos'!$E$22=13,"M3b","M3a"),"L")))</f>
        <v>M3a</v>
      </c>
      <c r="T15" s="63" t="str">
        <f aca="false">IF('Calibración de turnos'!$B$23="T1",MID("DDNNLL",MOD($A15-1+'Calibración de turnos'!$D$23,6)+1,1),IF('Calibración de turnos'!$B$23="T2",IF(MOD($A15-1,7)+1&lt;=5,IF(MOD(INT(($A15-1)/7)+'Calibración de turnos'!$D$23,2)=0,"M2","T2"),"L"),IF(MOD($A15-1,7)+1&lt;=5,IF('Calibración de turnos'!$E$23=13,"M3b","M3a"),"L")))</f>
        <v>M3b</v>
      </c>
      <c r="U15" s="63" t="str">
        <f aca="false">IF('Calibración de turnos'!$B$24="T1",MID("DDNNLL",MOD($A15-1+'Calibración de turnos'!$D$24,6)+1,1),IF('Calibración de turnos'!$B$24="T2",IF(MOD($A15-1,7)+1&lt;=5,IF(MOD(INT(($A15-1)/7)+'Calibración de turnos'!$D$24,2)=0,"M2","T2"),"L"),IF(MOD($A15-1,7)+1&lt;=5,IF('Calibración de turnos'!$E$24=13,"M3b","M3a"),"L")))</f>
        <v>M3a</v>
      </c>
      <c r="V15" s="63" t="str">
        <f aca="false">IF('Calibración de turnos'!$B$25="T1",MID("DDNNLL",MOD($A15-1+'Calibración de turnos'!$D$25,6)+1,1),IF('Calibración de turnos'!$B$25="T2",IF(MOD($A15-1,7)+1&lt;=5,IF(MOD(INT(($A15-1)/7)+'Calibración de turnos'!$D$25,2)=0,"M2","T2"),"L"),IF(MOD($A15-1,7)+1&lt;=5,IF('Calibración de turnos'!$E$25=13,"M3b","M3a"),"L")))</f>
        <v>M3b</v>
      </c>
    </row>
    <row r="16" customFormat="false" ht="15" hidden="false" customHeight="false" outlineLevel="0" collapsed="false">
      <c r="A16" s="18" t="n">
        <v>12</v>
      </c>
      <c r="B16" s="18" t="str">
        <f aca="false">CHOOSE(MOD(A16-1,7)+1,"lunes","martes","miércoles","jueves","viernes","sábado","domingo")</f>
        <v>viernes</v>
      </c>
      <c r="C16" s="63" t="str">
        <f aca="false">IF('Calibración de turnos'!$B$6="T1",MID("DDNNLL",MOD($A16-1+'Calibración de turnos'!$D$6,6)+1,1),IF('Calibración de turnos'!$B$6="T2",IF(MOD($A16-1,7)+1&lt;=5,IF(MOD(INT(($A16-1)/7)+'Calibración de turnos'!$D$6,2)=0,"M2","T2"),"L"),IF(MOD($A16-1,7)+1&lt;=5,IF('Calibración de turnos'!$E$6=13,"M3b","M3a"),"L")))</f>
        <v>L</v>
      </c>
      <c r="D16" s="63" t="str">
        <f aca="false">IF('Calibración de turnos'!$B$7="T1",MID("DDNNLL",MOD($A16-1+'Calibración de turnos'!$D$7,6)+1,1),IF('Calibración de turnos'!$B$7="T2",IF(MOD($A16-1,7)+1&lt;=5,IF(MOD(INT(($A16-1)/7)+'Calibración de turnos'!$D$7,2)=0,"M2","T2"),"L"),IF(MOD($A16-1,7)+1&lt;=5,IF('Calibración de turnos'!$E$7=13,"M3b","M3a"),"L")))</f>
        <v>D</v>
      </c>
      <c r="E16" s="63" t="str">
        <f aca="false">IF('Calibración de turnos'!$B$8="T1",MID("DDNNLL",MOD($A16-1+'Calibración de turnos'!$D$8,6)+1,1),IF('Calibración de turnos'!$B$8="T2",IF(MOD($A16-1,7)+1&lt;=5,IF(MOD(INT(($A16-1)/7)+'Calibración de turnos'!$D$8,2)=0,"M2","T2"),"L"),IF(MOD($A16-1,7)+1&lt;=5,IF('Calibración de turnos'!$E$8=13,"M3b","M3a"),"L")))</f>
        <v>L</v>
      </c>
      <c r="F16" s="63" t="str">
        <f aca="false">IF('Calibración de turnos'!$B$9="T1",MID("DDNNLL",MOD($A16-1+'Calibración de turnos'!$D$9,6)+1,1),IF('Calibración de turnos'!$B$9="T2",IF(MOD($A16-1,7)+1&lt;=5,IF(MOD(INT(($A16-1)/7)+'Calibración de turnos'!$D$9,2)=0,"M2","T2"),"L"),IF(MOD($A16-1,7)+1&lt;=5,IF('Calibración de turnos'!$E$9=13,"M3b","M3a"),"L")))</f>
        <v>D</v>
      </c>
      <c r="G16" s="63" t="str">
        <f aca="false">IF('Calibración de turnos'!$B$10="T1",MID("DDNNLL",MOD($A16-1+'Calibración de turnos'!$D$10,6)+1,1),IF('Calibración de turnos'!$B$10="T2",IF(MOD($A16-1,7)+1&lt;=5,IF(MOD(INT(($A16-1)/7)+'Calibración de turnos'!$D$10,2)=0,"M2","T2"),"L"),IF(MOD($A16-1,7)+1&lt;=5,IF('Calibración de turnos'!$E$10=13,"M3b","M3a"),"L")))</f>
        <v>N</v>
      </c>
      <c r="H16" s="63" t="str">
        <f aca="false">IF('Calibración de turnos'!$B$11="T1",MID("DDNNLL",MOD($A16-1+'Calibración de turnos'!$D$11,6)+1,1),IF('Calibración de turnos'!$B$11="T2",IF(MOD($A16-1,7)+1&lt;=5,IF(MOD(INT(($A16-1)/7)+'Calibración de turnos'!$D$11,2)=0,"M2","T2"),"L"),IF(MOD($A16-1,7)+1&lt;=5,IF('Calibración de turnos'!$E$11=13,"M3b","M3a"),"L")))</f>
        <v>N</v>
      </c>
      <c r="I16" s="63" t="str">
        <f aca="false">IF('Calibración de turnos'!$B$12="T1",MID("DDNNLL",MOD($A16-1+'Calibración de turnos'!$D$12,6)+1,1),IF('Calibración de turnos'!$B$12="T2",IF(MOD($A16-1,7)+1&lt;=5,IF(MOD(INT(($A16-1)/7)+'Calibración de turnos'!$D$12,2)=0,"M2","T2"),"L"),IF(MOD($A16-1,7)+1&lt;=5,IF('Calibración de turnos'!$E$12=13,"M3b","M3a"),"L")))</f>
        <v>T2</v>
      </c>
      <c r="J16" s="63" t="str">
        <f aca="false">IF('Calibración de turnos'!$B$13="T1",MID("DDNNLL",MOD($A16-1+'Calibración de turnos'!$D$13,6)+1,1),IF('Calibración de turnos'!$B$13="T2",IF(MOD($A16-1,7)+1&lt;=5,IF(MOD(INT(($A16-1)/7)+'Calibración de turnos'!$D$13,2)=0,"M2","T2"),"L"),IF(MOD($A16-1,7)+1&lt;=5,IF('Calibración de turnos'!$E$13=13,"M3b","M3a"),"L")))</f>
        <v>M2</v>
      </c>
      <c r="K16" s="63" t="str">
        <f aca="false">IF('Calibración de turnos'!$B$14="T1",MID("DDNNLL",MOD($A16-1+'Calibración de turnos'!$D$14,6)+1,1),IF('Calibración de turnos'!$B$14="T2",IF(MOD($A16-1,7)+1&lt;=5,IF(MOD(INT(($A16-1)/7)+'Calibración de turnos'!$D$14,2)=0,"M2","T2"),"L"),IF(MOD($A16-1,7)+1&lt;=5,IF('Calibración de turnos'!$E$14=13,"M3b","M3a"),"L")))</f>
        <v>T2</v>
      </c>
      <c r="L16" s="63" t="str">
        <f aca="false">IF('Calibración de turnos'!$B$15="T1",MID("DDNNLL",MOD($A16-1+'Calibración de turnos'!$D$15,6)+1,1),IF('Calibración de turnos'!$B$15="T2",IF(MOD($A16-1,7)+1&lt;=5,IF(MOD(INT(($A16-1)/7)+'Calibración de turnos'!$D$15,2)=0,"M2","T2"),"L"),IF(MOD($A16-1,7)+1&lt;=5,IF('Calibración de turnos'!$E$15=13,"M3b","M3a"),"L")))</f>
        <v>M2</v>
      </c>
      <c r="M16" s="63" t="str">
        <f aca="false">IF('Calibración de turnos'!$B$16="T1",MID("DDNNLL",MOD($A16-1+'Calibración de turnos'!$D$16,6)+1,1),IF('Calibración de turnos'!$B$16="T2",IF(MOD($A16-1,7)+1&lt;=5,IF(MOD(INT(($A16-1)/7)+'Calibración de turnos'!$D$16,2)=0,"M2","T2"),"L"),IF(MOD($A16-1,7)+1&lt;=5,IF('Calibración de turnos'!$E$16=13,"M3b","M3a"),"L")))</f>
        <v>M3a</v>
      </c>
      <c r="N16" s="63" t="str">
        <f aca="false">IF('Calibración de turnos'!$B$17="T1",MID("DDNNLL",MOD($A16-1+'Calibración de turnos'!$D$17,6)+1,1),IF('Calibración de turnos'!$B$17="T2",IF(MOD($A16-1,7)+1&lt;=5,IF(MOD(INT(($A16-1)/7)+'Calibración de turnos'!$D$17,2)=0,"M2","T2"),"L"),IF(MOD($A16-1,7)+1&lt;=5,IF('Calibración de turnos'!$E$17=13,"M3b","M3a"),"L")))</f>
        <v>M3a</v>
      </c>
      <c r="O16" s="63" t="str">
        <f aca="false">IF('Calibración de turnos'!$B$18="T1",MID("DDNNLL",MOD($A16-1+'Calibración de turnos'!$D$18,6)+1,1),IF('Calibración de turnos'!$B$18="T2",IF(MOD($A16-1,7)+1&lt;=5,IF(MOD(INT(($A16-1)/7)+'Calibración de turnos'!$D$18,2)=0,"M2","T2"),"L"),IF(MOD($A16-1,7)+1&lt;=5,IF('Calibración de turnos'!$E$18=13,"M3b","M3a"),"L")))</f>
        <v>M3b</v>
      </c>
      <c r="P16" s="63" t="str">
        <f aca="false">IF('Calibración de turnos'!$B$19="T1",MID("DDNNLL",MOD($A16-1+'Calibración de turnos'!$D$19,6)+1,1),IF('Calibración de turnos'!$B$19="T2",IF(MOD($A16-1,7)+1&lt;=5,IF(MOD(INT(($A16-1)/7)+'Calibración de turnos'!$D$19,2)=0,"M2","T2"),"L"),IF(MOD($A16-1,7)+1&lt;=5,IF('Calibración de turnos'!$E$19=13,"M3b","M3a"),"L")))</f>
        <v>M3a</v>
      </c>
      <c r="Q16" s="63" t="str">
        <f aca="false">IF('Calibración de turnos'!$B$20="T1",MID("DDNNLL",MOD($A16-1+'Calibración de turnos'!$D$20,6)+1,1),IF('Calibración de turnos'!$B$20="T2",IF(MOD($A16-1,7)+1&lt;=5,IF(MOD(INT(($A16-1)/7)+'Calibración de turnos'!$D$20,2)=0,"M2","T2"),"L"),IF(MOD($A16-1,7)+1&lt;=5,IF('Calibración de turnos'!$E$20=13,"M3b","M3a"),"L")))</f>
        <v>M3b</v>
      </c>
      <c r="R16" s="63" t="str">
        <f aca="false">IF('Calibración de turnos'!$B$21="T1",MID("DDNNLL",MOD($A16-1+'Calibración de turnos'!$D$21,6)+1,1),IF('Calibración de turnos'!$B$21="T2",IF(MOD($A16-1,7)+1&lt;=5,IF(MOD(INT(($A16-1)/7)+'Calibración de turnos'!$D$21,2)=0,"M2","T2"),"L"),IF(MOD($A16-1,7)+1&lt;=5,IF('Calibración de turnos'!$E$21=13,"M3b","M3a"),"L")))</f>
        <v>M3b</v>
      </c>
      <c r="S16" s="63" t="str">
        <f aca="false">IF('Calibración de turnos'!$B$22="T1",MID("DDNNLL",MOD($A16-1+'Calibración de turnos'!$D$22,6)+1,1),IF('Calibración de turnos'!$B$22="T2",IF(MOD($A16-1,7)+1&lt;=5,IF(MOD(INT(($A16-1)/7)+'Calibración de turnos'!$D$22,2)=0,"M2","T2"),"L"),IF(MOD($A16-1,7)+1&lt;=5,IF('Calibración de turnos'!$E$22=13,"M3b","M3a"),"L")))</f>
        <v>M3a</v>
      </c>
      <c r="T16" s="63" t="str">
        <f aca="false">IF('Calibración de turnos'!$B$23="T1",MID("DDNNLL",MOD($A16-1+'Calibración de turnos'!$D$23,6)+1,1),IF('Calibración de turnos'!$B$23="T2",IF(MOD($A16-1,7)+1&lt;=5,IF(MOD(INT(($A16-1)/7)+'Calibración de turnos'!$D$23,2)=0,"M2","T2"),"L"),IF(MOD($A16-1,7)+1&lt;=5,IF('Calibración de turnos'!$E$23=13,"M3b","M3a"),"L")))</f>
        <v>M3b</v>
      </c>
      <c r="U16" s="63" t="str">
        <f aca="false">IF('Calibración de turnos'!$B$24="T1",MID("DDNNLL",MOD($A16-1+'Calibración de turnos'!$D$24,6)+1,1),IF('Calibración de turnos'!$B$24="T2",IF(MOD($A16-1,7)+1&lt;=5,IF(MOD(INT(($A16-1)/7)+'Calibración de turnos'!$D$24,2)=0,"M2","T2"),"L"),IF(MOD($A16-1,7)+1&lt;=5,IF('Calibración de turnos'!$E$24=13,"M3b","M3a"),"L")))</f>
        <v>M3a</v>
      </c>
      <c r="V16" s="63" t="str">
        <f aca="false">IF('Calibración de turnos'!$B$25="T1",MID("DDNNLL",MOD($A16-1+'Calibración de turnos'!$D$25,6)+1,1),IF('Calibración de turnos'!$B$25="T2",IF(MOD($A16-1,7)+1&lt;=5,IF(MOD(INT(($A16-1)/7)+'Calibración de turnos'!$D$25,2)=0,"M2","T2"),"L"),IF(MOD($A16-1,7)+1&lt;=5,IF('Calibración de turnos'!$E$25=13,"M3b","M3a"),"L")))</f>
        <v>M3b</v>
      </c>
    </row>
    <row r="17" customFormat="false" ht="15" hidden="false" customHeight="false" outlineLevel="0" collapsed="false">
      <c r="A17" s="18" t="n">
        <v>13</v>
      </c>
      <c r="B17" s="18" t="str">
        <f aca="false">CHOOSE(MOD(A17-1,7)+1,"lunes","martes","miércoles","jueves","viernes","sábado","domingo")</f>
        <v>sábado</v>
      </c>
      <c r="C17" s="63" t="str">
        <f aca="false">IF('Calibración de turnos'!$B$6="T1",MID("DDNNLL",MOD($A17-1+'Calibración de turnos'!$D$6,6)+1,1),IF('Calibración de turnos'!$B$6="T2",IF(MOD($A17-1,7)+1&lt;=5,IF(MOD(INT(($A17-1)/7)+'Calibración de turnos'!$D$6,2)=0,"M2","T2"),"L"),IF(MOD($A17-1,7)+1&lt;=5,IF('Calibración de turnos'!$E$6=13,"M3b","M3a"),"L")))</f>
        <v>D</v>
      </c>
      <c r="D17" s="63" t="str">
        <f aca="false">IF('Calibración de turnos'!$B$7="T1",MID("DDNNLL",MOD($A17-1+'Calibración de turnos'!$D$7,6)+1,1),IF('Calibración de turnos'!$B$7="T2",IF(MOD($A17-1,7)+1&lt;=5,IF(MOD(INT(($A17-1)/7)+'Calibración de turnos'!$D$7,2)=0,"M2","T2"),"L"),IF(MOD($A17-1,7)+1&lt;=5,IF('Calibración de turnos'!$E$7=13,"M3b","M3a"),"L")))</f>
        <v>N</v>
      </c>
      <c r="E17" s="63" t="str">
        <f aca="false">IF('Calibración de turnos'!$B$8="T1",MID("DDNNLL",MOD($A17-1+'Calibración de turnos'!$D$8,6)+1,1),IF('Calibración de turnos'!$B$8="T2",IF(MOD($A17-1,7)+1&lt;=5,IF(MOD(INT(($A17-1)/7)+'Calibración de turnos'!$D$8,2)=0,"M2","T2"),"L"),IF(MOD($A17-1,7)+1&lt;=5,IF('Calibración de turnos'!$E$8=13,"M3b","M3a"),"L")))</f>
        <v>D</v>
      </c>
      <c r="F17" s="63" t="str">
        <f aca="false">IF('Calibración de turnos'!$B$9="T1",MID("DDNNLL",MOD($A17-1+'Calibración de turnos'!$D$9,6)+1,1),IF('Calibración de turnos'!$B$9="T2",IF(MOD($A17-1,7)+1&lt;=5,IF(MOD(INT(($A17-1)/7)+'Calibración de turnos'!$D$9,2)=0,"M2","T2"),"L"),IF(MOD($A17-1,7)+1&lt;=5,IF('Calibración de turnos'!$E$9=13,"M3b","M3a"),"L")))</f>
        <v>N</v>
      </c>
      <c r="G17" s="63" t="str">
        <f aca="false">IF('Calibración de turnos'!$B$10="T1",MID("DDNNLL",MOD($A17-1+'Calibración de turnos'!$D$10,6)+1,1),IF('Calibración de turnos'!$B$10="T2",IF(MOD($A17-1,7)+1&lt;=5,IF(MOD(INT(($A17-1)/7)+'Calibración de turnos'!$D$10,2)=0,"M2","T2"),"L"),IF(MOD($A17-1,7)+1&lt;=5,IF('Calibración de turnos'!$E$10=13,"M3b","M3a"),"L")))</f>
        <v>L</v>
      </c>
      <c r="H17" s="63" t="str">
        <f aca="false">IF('Calibración de turnos'!$B$11="T1",MID("DDNNLL",MOD($A17-1+'Calibración de turnos'!$D$11,6)+1,1),IF('Calibración de turnos'!$B$11="T2",IF(MOD($A17-1,7)+1&lt;=5,IF(MOD(INT(($A17-1)/7)+'Calibración de turnos'!$D$11,2)=0,"M2","T2"),"L"),IF(MOD($A17-1,7)+1&lt;=5,IF('Calibración de turnos'!$E$11=13,"M3b","M3a"),"L")))</f>
        <v>L</v>
      </c>
      <c r="I17" s="63" t="str">
        <f aca="false">IF('Calibración de turnos'!$B$12="T1",MID("DDNNLL",MOD($A17-1+'Calibración de turnos'!$D$12,6)+1,1),IF('Calibración de turnos'!$B$12="T2",IF(MOD($A17-1,7)+1&lt;=5,IF(MOD(INT(($A17-1)/7)+'Calibración de turnos'!$D$12,2)=0,"M2","T2"),"L"),IF(MOD($A17-1,7)+1&lt;=5,IF('Calibración de turnos'!$E$12=13,"M3b","M3a"),"L")))</f>
        <v>L</v>
      </c>
      <c r="J17" s="63" t="str">
        <f aca="false">IF('Calibración de turnos'!$B$13="T1",MID("DDNNLL",MOD($A17-1+'Calibración de turnos'!$D$13,6)+1,1),IF('Calibración de turnos'!$B$13="T2",IF(MOD($A17-1,7)+1&lt;=5,IF(MOD(INT(($A17-1)/7)+'Calibración de turnos'!$D$13,2)=0,"M2","T2"),"L"),IF(MOD($A17-1,7)+1&lt;=5,IF('Calibración de turnos'!$E$13=13,"M3b","M3a"),"L")))</f>
        <v>L</v>
      </c>
      <c r="K17" s="63" t="str">
        <f aca="false">IF('Calibración de turnos'!$B$14="T1",MID("DDNNLL",MOD($A17-1+'Calibración de turnos'!$D$14,6)+1,1),IF('Calibración de turnos'!$B$14="T2",IF(MOD($A17-1,7)+1&lt;=5,IF(MOD(INT(($A17-1)/7)+'Calibración de turnos'!$D$14,2)=0,"M2","T2"),"L"),IF(MOD($A17-1,7)+1&lt;=5,IF('Calibración de turnos'!$E$14=13,"M3b","M3a"),"L")))</f>
        <v>L</v>
      </c>
      <c r="L17" s="63" t="str">
        <f aca="false">IF('Calibración de turnos'!$B$15="T1",MID("DDNNLL",MOD($A17-1+'Calibración de turnos'!$D$15,6)+1,1),IF('Calibración de turnos'!$B$15="T2",IF(MOD($A17-1,7)+1&lt;=5,IF(MOD(INT(($A17-1)/7)+'Calibración de turnos'!$D$15,2)=0,"M2","T2"),"L"),IF(MOD($A17-1,7)+1&lt;=5,IF('Calibración de turnos'!$E$15=13,"M3b","M3a"),"L")))</f>
        <v>L</v>
      </c>
      <c r="M17" s="63" t="str">
        <f aca="false">IF('Calibración de turnos'!$B$16="T1",MID("DDNNLL",MOD($A17-1+'Calibración de turnos'!$D$16,6)+1,1),IF('Calibración de turnos'!$B$16="T2",IF(MOD($A17-1,7)+1&lt;=5,IF(MOD(INT(($A17-1)/7)+'Calibración de turnos'!$D$16,2)=0,"M2","T2"),"L"),IF(MOD($A17-1,7)+1&lt;=5,IF('Calibración de turnos'!$E$16=13,"M3b","M3a"),"L")))</f>
        <v>L</v>
      </c>
      <c r="N17" s="63" t="str">
        <f aca="false">IF('Calibración de turnos'!$B$17="T1",MID("DDNNLL",MOD($A17-1+'Calibración de turnos'!$D$17,6)+1,1),IF('Calibración de turnos'!$B$17="T2",IF(MOD($A17-1,7)+1&lt;=5,IF(MOD(INT(($A17-1)/7)+'Calibración de turnos'!$D$17,2)=0,"M2","T2"),"L"),IF(MOD($A17-1,7)+1&lt;=5,IF('Calibración de turnos'!$E$17=13,"M3b","M3a"),"L")))</f>
        <v>L</v>
      </c>
      <c r="O17" s="63" t="str">
        <f aca="false">IF('Calibración de turnos'!$B$18="T1",MID("DDNNLL",MOD($A17-1+'Calibración de turnos'!$D$18,6)+1,1),IF('Calibración de turnos'!$B$18="T2",IF(MOD($A17-1,7)+1&lt;=5,IF(MOD(INT(($A17-1)/7)+'Calibración de turnos'!$D$18,2)=0,"M2","T2"),"L"),IF(MOD($A17-1,7)+1&lt;=5,IF('Calibración de turnos'!$E$18=13,"M3b","M3a"),"L")))</f>
        <v>L</v>
      </c>
      <c r="P17" s="63" t="str">
        <f aca="false">IF('Calibración de turnos'!$B$19="T1",MID("DDNNLL",MOD($A17-1+'Calibración de turnos'!$D$19,6)+1,1),IF('Calibración de turnos'!$B$19="T2",IF(MOD($A17-1,7)+1&lt;=5,IF(MOD(INT(($A17-1)/7)+'Calibración de turnos'!$D$19,2)=0,"M2","T2"),"L"),IF(MOD($A17-1,7)+1&lt;=5,IF('Calibración de turnos'!$E$19=13,"M3b","M3a"),"L")))</f>
        <v>L</v>
      </c>
      <c r="Q17" s="63" t="str">
        <f aca="false">IF('Calibración de turnos'!$B$20="T1",MID("DDNNLL",MOD($A17-1+'Calibración de turnos'!$D$20,6)+1,1),IF('Calibración de turnos'!$B$20="T2",IF(MOD($A17-1,7)+1&lt;=5,IF(MOD(INT(($A17-1)/7)+'Calibración de turnos'!$D$20,2)=0,"M2","T2"),"L"),IF(MOD($A17-1,7)+1&lt;=5,IF('Calibración de turnos'!$E$20=13,"M3b","M3a"),"L")))</f>
        <v>L</v>
      </c>
      <c r="R17" s="63" t="str">
        <f aca="false">IF('Calibración de turnos'!$B$21="T1",MID("DDNNLL",MOD($A17-1+'Calibración de turnos'!$D$21,6)+1,1),IF('Calibración de turnos'!$B$21="T2",IF(MOD($A17-1,7)+1&lt;=5,IF(MOD(INT(($A17-1)/7)+'Calibración de turnos'!$D$21,2)=0,"M2","T2"),"L"),IF(MOD($A17-1,7)+1&lt;=5,IF('Calibración de turnos'!$E$21=13,"M3b","M3a"),"L")))</f>
        <v>L</v>
      </c>
      <c r="S17" s="63" t="str">
        <f aca="false">IF('Calibración de turnos'!$B$22="T1",MID("DDNNLL",MOD($A17-1+'Calibración de turnos'!$D$22,6)+1,1),IF('Calibración de turnos'!$B$22="T2",IF(MOD($A17-1,7)+1&lt;=5,IF(MOD(INT(($A17-1)/7)+'Calibración de turnos'!$D$22,2)=0,"M2","T2"),"L"),IF(MOD($A17-1,7)+1&lt;=5,IF('Calibración de turnos'!$E$22=13,"M3b","M3a"),"L")))</f>
        <v>L</v>
      </c>
      <c r="T17" s="63" t="str">
        <f aca="false">IF('Calibración de turnos'!$B$23="T1",MID("DDNNLL",MOD($A17-1+'Calibración de turnos'!$D$23,6)+1,1),IF('Calibración de turnos'!$B$23="T2",IF(MOD($A17-1,7)+1&lt;=5,IF(MOD(INT(($A17-1)/7)+'Calibración de turnos'!$D$23,2)=0,"M2","T2"),"L"),IF(MOD($A17-1,7)+1&lt;=5,IF('Calibración de turnos'!$E$23=13,"M3b","M3a"),"L")))</f>
        <v>L</v>
      </c>
      <c r="U17" s="63" t="str">
        <f aca="false">IF('Calibración de turnos'!$B$24="T1",MID("DDNNLL",MOD($A17-1+'Calibración de turnos'!$D$24,6)+1,1),IF('Calibración de turnos'!$B$24="T2",IF(MOD($A17-1,7)+1&lt;=5,IF(MOD(INT(($A17-1)/7)+'Calibración de turnos'!$D$24,2)=0,"M2","T2"),"L"),IF(MOD($A17-1,7)+1&lt;=5,IF('Calibración de turnos'!$E$24=13,"M3b","M3a"),"L")))</f>
        <v>L</v>
      </c>
      <c r="V17" s="63" t="str">
        <f aca="false">IF('Calibración de turnos'!$B$25="T1",MID("DDNNLL",MOD($A17-1+'Calibración de turnos'!$D$25,6)+1,1),IF('Calibración de turnos'!$B$25="T2",IF(MOD($A17-1,7)+1&lt;=5,IF(MOD(INT(($A17-1)/7)+'Calibración de turnos'!$D$25,2)=0,"M2","T2"),"L"),IF(MOD($A17-1,7)+1&lt;=5,IF('Calibración de turnos'!$E$25=13,"M3b","M3a"),"L")))</f>
        <v>L</v>
      </c>
    </row>
    <row r="18" customFormat="false" ht="15" hidden="false" customHeight="false" outlineLevel="0" collapsed="false">
      <c r="A18" s="18" t="n">
        <v>14</v>
      </c>
      <c r="B18" s="18" t="str">
        <f aca="false">CHOOSE(MOD(A18-1,7)+1,"lunes","martes","miércoles","jueves","viernes","sábado","domingo")</f>
        <v>domingo</v>
      </c>
      <c r="C18" s="63" t="str">
        <f aca="false">IF('Calibración de turnos'!$B$6="T1",MID("DDNNLL",MOD($A18-1+'Calibración de turnos'!$D$6,6)+1,1),IF('Calibración de turnos'!$B$6="T2",IF(MOD($A18-1,7)+1&lt;=5,IF(MOD(INT(($A18-1)/7)+'Calibración de turnos'!$D$6,2)=0,"M2","T2"),"L"),IF(MOD($A18-1,7)+1&lt;=5,IF('Calibración de turnos'!$E$6=13,"M3b","M3a"),"L")))</f>
        <v>D</v>
      </c>
      <c r="D18" s="63" t="str">
        <f aca="false">IF('Calibración de turnos'!$B$7="T1",MID("DDNNLL",MOD($A18-1+'Calibración de turnos'!$D$7,6)+1,1),IF('Calibración de turnos'!$B$7="T2",IF(MOD($A18-1,7)+1&lt;=5,IF(MOD(INT(($A18-1)/7)+'Calibración de turnos'!$D$7,2)=0,"M2","T2"),"L"),IF(MOD($A18-1,7)+1&lt;=5,IF('Calibración de turnos'!$E$7=13,"M3b","M3a"),"L")))</f>
        <v>N</v>
      </c>
      <c r="E18" s="63" t="str">
        <f aca="false">IF('Calibración de turnos'!$B$8="T1",MID("DDNNLL",MOD($A18-1+'Calibración de turnos'!$D$8,6)+1,1),IF('Calibración de turnos'!$B$8="T2",IF(MOD($A18-1,7)+1&lt;=5,IF(MOD(INT(($A18-1)/7)+'Calibración de turnos'!$D$8,2)=0,"M2","T2"),"L"),IF(MOD($A18-1,7)+1&lt;=5,IF('Calibración de turnos'!$E$8=13,"M3b","M3a"),"L")))</f>
        <v>D</v>
      </c>
      <c r="F18" s="63" t="str">
        <f aca="false">IF('Calibración de turnos'!$B$9="T1",MID("DDNNLL",MOD($A18-1+'Calibración de turnos'!$D$9,6)+1,1),IF('Calibración de turnos'!$B$9="T2",IF(MOD($A18-1,7)+1&lt;=5,IF(MOD(INT(($A18-1)/7)+'Calibración de turnos'!$D$9,2)=0,"M2","T2"),"L"),IF(MOD($A18-1,7)+1&lt;=5,IF('Calibración de turnos'!$E$9=13,"M3b","M3a"),"L")))</f>
        <v>N</v>
      </c>
      <c r="G18" s="63" t="str">
        <f aca="false">IF('Calibración de turnos'!$B$10="T1",MID("DDNNLL",MOD($A18-1+'Calibración de turnos'!$D$10,6)+1,1),IF('Calibración de turnos'!$B$10="T2",IF(MOD($A18-1,7)+1&lt;=5,IF(MOD(INT(($A18-1)/7)+'Calibración de turnos'!$D$10,2)=0,"M2","T2"),"L"),IF(MOD($A18-1,7)+1&lt;=5,IF('Calibración de turnos'!$E$10=13,"M3b","M3a"),"L")))</f>
        <v>L</v>
      </c>
      <c r="H18" s="63" t="str">
        <f aca="false">IF('Calibración de turnos'!$B$11="T1",MID("DDNNLL",MOD($A18-1+'Calibración de turnos'!$D$11,6)+1,1),IF('Calibración de turnos'!$B$11="T2",IF(MOD($A18-1,7)+1&lt;=5,IF(MOD(INT(($A18-1)/7)+'Calibración de turnos'!$D$11,2)=0,"M2","T2"),"L"),IF(MOD($A18-1,7)+1&lt;=5,IF('Calibración de turnos'!$E$11=13,"M3b","M3a"),"L")))</f>
        <v>L</v>
      </c>
      <c r="I18" s="63" t="str">
        <f aca="false">IF('Calibración de turnos'!$B$12="T1",MID("DDNNLL",MOD($A18-1+'Calibración de turnos'!$D$12,6)+1,1),IF('Calibración de turnos'!$B$12="T2",IF(MOD($A18-1,7)+1&lt;=5,IF(MOD(INT(($A18-1)/7)+'Calibración de turnos'!$D$12,2)=0,"M2","T2"),"L"),IF(MOD($A18-1,7)+1&lt;=5,IF('Calibración de turnos'!$E$12=13,"M3b","M3a"),"L")))</f>
        <v>L</v>
      </c>
      <c r="J18" s="63" t="str">
        <f aca="false">IF('Calibración de turnos'!$B$13="T1",MID("DDNNLL",MOD($A18-1+'Calibración de turnos'!$D$13,6)+1,1),IF('Calibración de turnos'!$B$13="T2",IF(MOD($A18-1,7)+1&lt;=5,IF(MOD(INT(($A18-1)/7)+'Calibración de turnos'!$D$13,2)=0,"M2","T2"),"L"),IF(MOD($A18-1,7)+1&lt;=5,IF('Calibración de turnos'!$E$13=13,"M3b","M3a"),"L")))</f>
        <v>L</v>
      </c>
      <c r="K18" s="63" t="str">
        <f aca="false">IF('Calibración de turnos'!$B$14="T1",MID("DDNNLL",MOD($A18-1+'Calibración de turnos'!$D$14,6)+1,1),IF('Calibración de turnos'!$B$14="T2",IF(MOD($A18-1,7)+1&lt;=5,IF(MOD(INT(($A18-1)/7)+'Calibración de turnos'!$D$14,2)=0,"M2","T2"),"L"),IF(MOD($A18-1,7)+1&lt;=5,IF('Calibración de turnos'!$E$14=13,"M3b","M3a"),"L")))</f>
        <v>L</v>
      </c>
      <c r="L18" s="63" t="str">
        <f aca="false">IF('Calibración de turnos'!$B$15="T1",MID("DDNNLL",MOD($A18-1+'Calibración de turnos'!$D$15,6)+1,1),IF('Calibración de turnos'!$B$15="T2",IF(MOD($A18-1,7)+1&lt;=5,IF(MOD(INT(($A18-1)/7)+'Calibración de turnos'!$D$15,2)=0,"M2","T2"),"L"),IF(MOD($A18-1,7)+1&lt;=5,IF('Calibración de turnos'!$E$15=13,"M3b","M3a"),"L")))</f>
        <v>L</v>
      </c>
      <c r="M18" s="63" t="str">
        <f aca="false">IF('Calibración de turnos'!$B$16="T1",MID("DDNNLL",MOD($A18-1+'Calibración de turnos'!$D$16,6)+1,1),IF('Calibración de turnos'!$B$16="T2",IF(MOD($A18-1,7)+1&lt;=5,IF(MOD(INT(($A18-1)/7)+'Calibración de turnos'!$D$16,2)=0,"M2","T2"),"L"),IF(MOD($A18-1,7)+1&lt;=5,IF('Calibración de turnos'!$E$16=13,"M3b","M3a"),"L")))</f>
        <v>L</v>
      </c>
      <c r="N18" s="63" t="str">
        <f aca="false">IF('Calibración de turnos'!$B$17="T1",MID("DDNNLL",MOD($A18-1+'Calibración de turnos'!$D$17,6)+1,1),IF('Calibración de turnos'!$B$17="T2",IF(MOD($A18-1,7)+1&lt;=5,IF(MOD(INT(($A18-1)/7)+'Calibración de turnos'!$D$17,2)=0,"M2","T2"),"L"),IF(MOD($A18-1,7)+1&lt;=5,IF('Calibración de turnos'!$E$17=13,"M3b","M3a"),"L")))</f>
        <v>L</v>
      </c>
      <c r="O18" s="63" t="str">
        <f aca="false">IF('Calibración de turnos'!$B$18="T1",MID("DDNNLL",MOD($A18-1+'Calibración de turnos'!$D$18,6)+1,1),IF('Calibración de turnos'!$B$18="T2",IF(MOD($A18-1,7)+1&lt;=5,IF(MOD(INT(($A18-1)/7)+'Calibración de turnos'!$D$18,2)=0,"M2","T2"),"L"),IF(MOD($A18-1,7)+1&lt;=5,IF('Calibración de turnos'!$E$18=13,"M3b","M3a"),"L")))</f>
        <v>L</v>
      </c>
      <c r="P18" s="63" t="str">
        <f aca="false">IF('Calibración de turnos'!$B$19="T1",MID("DDNNLL",MOD($A18-1+'Calibración de turnos'!$D$19,6)+1,1),IF('Calibración de turnos'!$B$19="T2",IF(MOD($A18-1,7)+1&lt;=5,IF(MOD(INT(($A18-1)/7)+'Calibración de turnos'!$D$19,2)=0,"M2","T2"),"L"),IF(MOD($A18-1,7)+1&lt;=5,IF('Calibración de turnos'!$E$19=13,"M3b","M3a"),"L")))</f>
        <v>L</v>
      </c>
      <c r="Q18" s="63" t="str">
        <f aca="false">IF('Calibración de turnos'!$B$20="T1",MID("DDNNLL",MOD($A18-1+'Calibración de turnos'!$D$20,6)+1,1),IF('Calibración de turnos'!$B$20="T2",IF(MOD($A18-1,7)+1&lt;=5,IF(MOD(INT(($A18-1)/7)+'Calibración de turnos'!$D$20,2)=0,"M2","T2"),"L"),IF(MOD($A18-1,7)+1&lt;=5,IF('Calibración de turnos'!$E$20=13,"M3b","M3a"),"L")))</f>
        <v>L</v>
      </c>
      <c r="R18" s="63" t="str">
        <f aca="false">IF('Calibración de turnos'!$B$21="T1",MID("DDNNLL",MOD($A18-1+'Calibración de turnos'!$D$21,6)+1,1),IF('Calibración de turnos'!$B$21="T2",IF(MOD($A18-1,7)+1&lt;=5,IF(MOD(INT(($A18-1)/7)+'Calibración de turnos'!$D$21,2)=0,"M2","T2"),"L"),IF(MOD($A18-1,7)+1&lt;=5,IF('Calibración de turnos'!$E$21=13,"M3b","M3a"),"L")))</f>
        <v>L</v>
      </c>
      <c r="S18" s="63" t="str">
        <f aca="false">IF('Calibración de turnos'!$B$22="T1",MID("DDNNLL",MOD($A18-1+'Calibración de turnos'!$D$22,6)+1,1),IF('Calibración de turnos'!$B$22="T2",IF(MOD($A18-1,7)+1&lt;=5,IF(MOD(INT(($A18-1)/7)+'Calibración de turnos'!$D$22,2)=0,"M2","T2"),"L"),IF(MOD($A18-1,7)+1&lt;=5,IF('Calibración de turnos'!$E$22=13,"M3b","M3a"),"L")))</f>
        <v>L</v>
      </c>
      <c r="T18" s="63" t="str">
        <f aca="false">IF('Calibración de turnos'!$B$23="T1",MID("DDNNLL",MOD($A18-1+'Calibración de turnos'!$D$23,6)+1,1),IF('Calibración de turnos'!$B$23="T2",IF(MOD($A18-1,7)+1&lt;=5,IF(MOD(INT(($A18-1)/7)+'Calibración de turnos'!$D$23,2)=0,"M2","T2"),"L"),IF(MOD($A18-1,7)+1&lt;=5,IF('Calibración de turnos'!$E$23=13,"M3b","M3a"),"L")))</f>
        <v>L</v>
      </c>
      <c r="U18" s="63" t="str">
        <f aca="false">IF('Calibración de turnos'!$B$24="T1",MID("DDNNLL",MOD($A18-1+'Calibración de turnos'!$D$24,6)+1,1),IF('Calibración de turnos'!$B$24="T2",IF(MOD($A18-1,7)+1&lt;=5,IF(MOD(INT(($A18-1)/7)+'Calibración de turnos'!$D$24,2)=0,"M2","T2"),"L"),IF(MOD($A18-1,7)+1&lt;=5,IF('Calibración de turnos'!$E$24=13,"M3b","M3a"),"L")))</f>
        <v>L</v>
      </c>
      <c r="V18" s="63" t="str">
        <f aca="false">IF('Calibración de turnos'!$B$25="T1",MID("DDNNLL",MOD($A18-1+'Calibración de turnos'!$D$25,6)+1,1),IF('Calibración de turnos'!$B$25="T2",IF(MOD($A18-1,7)+1&lt;=5,IF(MOD(INT(($A18-1)/7)+'Calibración de turnos'!$D$25,2)=0,"M2","T2"),"L"),IF(MOD($A18-1,7)+1&lt;=5,IF('Calibración de turnos'!$E$25=13,"M3b","M3a"),"L")))</f>
        <v>L</v>
      </c>
    </row>
    <row r="19" customFormat="false" ht="15" hidden="false" customHeight="false" outlineLevel="0" collapsed="false">
      <c r="A19" s="18" t="n">
        <v>15</v>
      </c>
      <c r="B19" s="18" t="str">
        <f aca="false">CHOOSE(MOD(A19-1,7)+1,"lunes","martes","miércoles","jueves","viernes","sábado","domingo")</f>
        <v>lunes</v>
      </c>
      <c r="C19" s="63" t="str">
        <f aca="false">IF('Calibración de turnos'!$B$6="T1",MID("DDNNLL",MOD($A19-1+'Calibración de turnos'!$D$6,6)+1,1),IF('Calibración de turnos'!$B$6="T2",IF(MOD($A19-1,7)+1&lt;=5,IF(MOD(INT(($A19-1)/7)+'Calibración de turnos'!$D$6,2)=0,"M2","T2"),"L"),IF(MOD($A19-1,7)+1&lt;=5,IF('Calibración de turnos'!$E$6=13,"M3b","M3a"),"L")))</f>
        <v>N</v>
      </c>
      <c r="D19" s="63" t="str">
        <f aca="false">IF('Calibración de turnos'!$B$7="T1",MID("DDNNLL",MOD($A19-1+'Calibración de turnos'!$D$7,6)+1,1),IF('Calibración de turnos'!$B$7="T2",IF(MOD($A19-1,7)+1&lt;=5,IF(MOD(INT(($A19-1)/7)+'Calibración de turnos'!$D$7,2)=0,"M2","T2"),"L"),IF(MOD($A19-1,7)+1&lt;=5,IF('Calibración de turnos'!$E$7=13,"M3b","M3a"),"L")))</f>
        <v>L</v>
      </c>
      <c r="E19" s="63" t="str">
        <f aca="false">IF('Calibración de turnos'!$B$8="T1",MID("DDNNLL",MOD($A19-1+'Calibración de turnos'!$D$8,6)+1,1),IF('Calibración de turnos'!$B$8="T2",IF(MOD($A19-1,7)+1&lt;=5,IF(MOD(INT(($A19-1)/7)+'Calibración de turnos'!$D$8,2)=0,"M2","T2"),"L"),IF(MOD($A19-1,7)+1&lt;=5,IF('Calibración de turnos'!$E$8=13,"M3b","M3a"),"L")))</f>
        <v>N</v>
      </c>
      <c r="F19" s="63" t="str">
        <f aca="false">IF('Calibración de turnos'!$B$9="T1",MID("DDNNLL",MOD($A19-1+'Calibración de turnos'!$D$9,6)+1,1),IF('Calibración de turnos'!$B$9="T2",IF(MOD($A19-1,7)+1&lt;=5,IF(MOD(INT(($A19-1)/7)+'Calibración de turnos'!$D$9,2)=0,"M2","T2"),"L"),IF(MOD($A19-1,7)+1&lt;=5,IF('Calibración de turnos'!$E$9=13,"M3b","M3a"),"L")))</f>
        <v>L</v>
      </c>
      <c r="G19" s="63" t="str">
        <f aca="false">IF('Calibración de turnos'!$B$10="T1",MID("DDNNLL",MOD($A19-1+'Calibración de turnos'!$D$10,6)+1,1),IF('Calibración de turnos'!$B$10="T2",IF(MOD($A19-1,7)+1&lt;=5,IF(MOD(INT(($A19-1)/7)+'Calibración de turnos'!$D$10,2)=0,"M2","T2"),"L"),IF(MOD($A19-1,7)+1&lt;=5,IF('Calibración de turnos'!$E$10=13,"M3b","M3a"),"L")))</f>
        <v>D</v>
      </c>
      <c r="H19" s="63" t="str">
        <f aca="false">IF('Calibración de turnos'!$B$11="T1",MID("DDNNLL",MOD($A19-1+'Calibración de turnos'!$D$11,6)+1,1),IF('Calibración de turnos'!$B$11="T2",IF(MOD($A19-1,7)+1&lt;=5,IF(MOD(INT(($A19-1)/7)+'Calibración de turnos'!$D$11,2)=0,"M2","T2"),"L"),IF(MOD($A19-1,7)+1&lt;=5,IF('Calibración de turnos'!$E$11=13,"M3b","M3a"),"L")))</f>
        <v>D</v>
      </c>
      <c r="I19" s="63" t="str">
        <f aca="false">IF('Calibración de turnos'!$B$12="T1",MID("DDNNLL",MOD($A19-1+'Calibración de turnos'!$D$12,6)+1,1),IF('Calibración de turnos'!$B$12="T2",IF(MOD($A19-1,7)+1&lt;=5,IF(MOD(INT(($A19-1)/7)+'Calibración de turnos'!$D$12,2)=0,"M2","T2"),"L"),IF(MOD($A19-1,7)+1&lt;=5,IF('Calibración de turnos'!$E$12=13,"M3b","M3a"),"L")))</f>
        <v>M2</v>
      </c>
      <c r="J19" s="63" t="str">
        <f aca="false">IF('Calibración de turnos'!$B$13="T1",MID("DDNNLL",MOD($A19-1+'Calibración de turnos'!$D$13,6)+1,1),IF('Calibración de turnos'!$B$13="T2",IF(MOD($A19-1,7)+1&lt;=5,IF(MOD(INT(($A19-1)/7)+'Calibración de turnos'!$D$13,2)=0,"M2","T2"),"L"),IF(MOD($A19-1,7)+1&lt;=5,IF('Calibración de turnos'!$E$13=13,"M3b","M3a"),"L")))</f>
        <v>T2</v>
      </c>
      <c r="K19" s="63" t="str">
        <f aca="false">IF('Calibración de turnos'!$B$14="T1",MID("DDNNLL",MOD($A19-1+'Calibración de turnos'!$D$14,6)+1,1),IF('Calibración de turnos'!$B$14="T2",IF(MOD($A19-1,7)+1&lt;=5,IF(MOD(INT(($A19-1)/7)+'Calibración de turnos'!$D$14,2)=0,"M2","T2"),"L"),IF(MOD($A19-1,7)+1&lt;=5,IF('Calibración de turnos'!$E$14=13,"M3b","M3a"),"L")))</f>
        <v>M2</v>
      </c>
      <c r="L19" s="63" t="str">
        <f aca="false">IF('Calibración de turnos'!$B$15="T1",MID("DDNNLL",MOD($A19-1+'Calibración de turnos'!$D$15,6)+1,1),IF('Calibración de turnos'!$B$15="T2",IF(MOD($A19-1,7)+1&lt;=5,IF(MOD(INT(($A19-1)/7)+'Calibración de turnos'!$D$15,2)=0,"M2","T2"),"L"),IF(MOD($A19-1,7)+1&lt;=5,IF('Calibración de turnos'!$E$15=13,"M3b","M3a"),"L")))</f>
        <v>T2</v>
      </c>
      <c r="M19" s="63" t="str">
        <f aca="false">IF('Calibración de turnos'!$B$16="T1",MID("DDNNLL",MOD($A19-1+'Calibración de turnos'!$D$16,6)+1,1),IF('Calibración de turnos'!$B$16="T2",IF(MOD($A19-1,7)+1&lt;=5,IF(MOD(INT(($A19-1)/7)+'Calibración de turnos'!$D$16,2)=0,"M2","T2"),"L"),IF(MOD($A19-1,7)+1&lt;=5,IF('Calibración de turnos'!$E$16=13,"M3b","M3a"),"L")))</f>
        <v>M3a</v>
      </c>
      <c r="N19" s="63" t="str">
        <f aca="false">IF('Calibración de turnos'!$B$17="T1",MID("DDNNLL",MOD($A19-1+'Calibración de turnos'!$D$17,6)+1,1),IF('Calibración de turnos'!$B$17="T2",IF(MOD($A19-1,7)+1&lt;=5,IF(MOD(INT(($A19-1)/7)+'Calibración de turnos'!$D$17,2)=0,"M2","T2"),"L"),IF(MOD($A19-1,7)+1&lt;=5,IF('Calibración de turnos'!$E$17=13,"M3b","M3a"),"L")))</f>
        <v>M3a</v>
      </c>
      <c r="O19" s="63" t="str">
        <f aca="false">IF('Calibración de turnos'!$B$18="T1",MID("DDNNLL",MOD($A19-1+'Calibración de turnos'!$D$18,6)+1,1),IF('Calibración de turnos'!$B$18="T2",IF(MOD($A19-1,7)+1&lt;=5,IF(MOD(INT(($A19-1)/7)+'Calibración de turnos'!$D$18,2)=0,"M2","T2"),"L"),IF(MOD($A19-1,7)+1&lt;=5,IF('Calibración de turnos'!$E$18=13,"M3b","M3a"),"L")))</f>
        <v>M3b</v>
      </c>
      <c r="P19" s="63" t="str">
        <f aca="false">IF('Calibración de turnos'!$B$19="T1",MID("DDNNLL",MOD($A19-1+'Calibración de turnos'!$D$19,6)+1,1),IF('Calibración de turnos'!$B$19="T2",IF(MOD($A19-1,7)+1&lt;=5,IF(MOD(INT(($A19-1)/7)+'Calibración de turnos'!$D$19,2)=0,"M2","T2"),"L"),IF(MOD($A19-1,7)+1&lt;=5,IF('Calibración de turnos'!$E$19=13,"M3b","M3a"),"L")))</f>
        <v>M3a</v>
      </c>
      <c r="Q19" s="63" t="str">
        <f aca="false">IF('Calibración de turnos'!$B$20="T1",MID("DDNNLL",MOD($A19-1+'Calibración de turnos'!$D$20,6)+1,1),IF('Calibración de turnos'!$B$20="T2",IF(MOD($A19-1,7)+1&lt;=5,IF(MOD(INT(($A19-1)/7)+'Calibración de turnos'!$D$20,2)=0,"M2","T2"),"L"),IF(MOD($A19-1,7)+1&lt;=5,IF('Calibración de turnos'!$E$20=13,"M3b","M3a"),"L")))</f>
        <v>M3b</v>
      </c>
      <c r="R19" s="63" t="str">
        <f aca="false">IF('Calibración de turnos'!$B$21="T1",MID("DDNNLL",MOD($A19-1+'Calibración de turnos'!$D$21,6)+1,1),IF('Calibración de turnos'!$B$21="T2",IF(MOD($A19-1,7)+1&lt;=5,IF(MOD(INT(($A19-1)/7)+'Calibración de turnos'!$D$21,2)=0,"M2","T2"),"L"),IF(MOD($A19-1,7)+1&lt;=5,IF('Calibración de turnos'!$E$21=13,"M3b","M3a"),"L")))</f>
        <v>M3b</v>
      </c>
      <c r="S19" s="63" t="str">
        <f aca="false">IF('Calibración de turnos'!$B$22="T1",MID("DDNNLL",MOD($A19-1+'Calibración de turnos'!$D$22,6)+1,1),IF('Calibración de turnos'!$B$22="T2",IF(MOD($A19-1,7)+1&lt;=5,IF(MOD(INT(($A19-1)/7)+'Calibración de turnos'!$D$22,2)=0,"M2","T2"),"L"),IF(MOD($A19-1,7)+1&lt;=5,IF('Calibración de turnos'!$E$22=13,"M3b","M3a"),"L")))</f>
        <v>M3a</v>
      </c>
      <c r="T19" s="63" t="str">
        <f aca="false">IF('Calibración de turnos'!$B$23="T1",MID("DDNNLL",MOD($A19-1+'Calibración de turnos'!$D$23,6)+1,1),IF('Calibración de turnos'!$B$23="T2",IF(MOD($A19-1,7)+1&lt;=5,IF(MOD(INT(($A19-1)/7)+'Calibración de turnos'!$D$23,2)=0,"M2","T2"),"L"),IF(MOD($A19-1,7)+1&lt;=5,IF('Calibración de turnos'!$E$23=13,"M3b","M3a"),"L")))</f>
        <v>M3b</v>
      </c>
      <c r="U19" s="63" t="str">
        <f aca="false">IF('Calibración de turnos'!$B$24="T1",MID("DDNNLL",MOD($A19-1+'Calibración de turnos'!$D$24,6)+1,1),IF('Calibración de turnos'!$B$24="T2",IF(MOD($A19-1,7)+1&lt;=5,IF(MOD(INT(($A19-1)/7)+'Calibración de turnos'!$D$24,2)=0,"M2","T2"),"L"),IF(MOD($A19-1,7)+1&lt;=5,IF('Calibración de turnos'!$E$24=13,"M3b","M3a"),"L")))</f>
        <v>M3a</v>
      </c>
      <c r="V19" s="63" t="str">
        <f aca="false">IF('Calibración de turnos'!$B$25="T1",MID("DDNNLL",MOD($A19-1+'Calibración de turnos'!$D$25,6)+1,1),IF('Calibración de turnos'!$B$25="T2",IF(MOD($A19-1,7)+1&lt;=5,IF(MOD(INT(($A19-1)/7)+'Calibración de turnos'!$D$25,2)=0,"M2","T2"),"L"),IF(MOD($A19-1,7)+1&lt;=5,IF('Calibración de turnos'!$E$25=13,"M3b","M3a"),"L")))</f>
        <v>M3b</v>
      </c>
    </row>
    <row r="20" customFormat="false" ht="15" hidden="false" customHeight="false" outlineLevel="0" collapsed="false">
      <c r="A20" s="18" t="n">
        <v>16</v>
      </c>
      <c r="B20" s="18" t="str">
        <f aca="false">CHOOSE(MOD(A20-1,7)+1,"lunes","martes","miércoles","jueves","viernes","sábado","domingo")</f>
        <v>martes</v>
      </c>
      <c r="C20" s="63" t="str">
        <f aca="false">IF('Calibración de turnos'!$B$6="T1",MID("DDNNLL",MOD($A20-1+'Calibración de turnos'!$D$6,6)+1,1),IF('Calibración de turnos'!$B$6="T2",IF(MOD($A20-1,7)+1&lt;=5,IF(MOD(INT(($A20-1)/7)+'Calibración de turnos'!$D$6,2)=0,"M2","T2"),"L"),IF(MOD($A20-1,7)+1&lt;=5,IF('Calibración de turnos'!$E$6=13,"M3b","M3a"),"L")))</f>
        <v>N</v>
      </c>
      <c r="D20" s="63" t="str">
        <f aca="false">IF('Calibración de turnos'!$B$7="T1",MID("DDNNLL",MOD($A20-1+'Calibración de turnos'!$D$7,6)+1,1),IF('Calibración de turnos'!$B$7="T2",IF(MOD($A20-1,7)+1&lt;=5,IF(MOD(INT(($A20-1)/7)+'Calibración de turnos'!$D$7,2)=0,"M2","T2"),"L"),IF(MOD($A20-1,7)+1&lt;=5,IF('Calibración de turnos'!$E$7=13,"M3b","M3a"),"L")))</f>
        <v>L</v>
      </c>
      <c r="E20" s="63" t="str">
        <f aca="false">IF('Calibración de turnos'!$B$8="T1",MID("DDNNLL",MOD($A20-1+'Calibración de turnos'!$D$8,6)+1,1),IF('Calibración de turnos'!$B$8="T2",IF(MOD($A20-1,7)+1&lt;=5,IF(MOD(INT(($A20-1)/7)+'Calibración de turnos'!$D$8,2)=0,"M2","T2"),"L"),IF(MOD($A20-1,7)+1&lt;=5,IF('Calibración de turnos'!$E$8=13,"M3b","M3a"),"L")))</f>
        <v>N</v>
      </c>
      <c r="F20" s="63" t="str">
        <f aca="false">IF('Calibración de turnos'!$B$9="T1",MID("DDNNLL",MOD($A20-1+'Calibración de turnos'!$D$9,6)+1,1),IF('Calibración de turnos'!$B$9="T2",IF(MOD($A20-1,7)+1&lt;=5,IF(MOD(INT(($A20-1)/7)+'Calibración de turnos'!$D$9,2)=0,"M2","T2"),"L"),IF(MOD($A20-1,7)+1&lt;=5,IF('Calibración de turnos'!$E$9=13,"M3b","M3a"),"L")))</f>
        <v>L</v>
      </c>
      <c r="G20" s="63" t="str">
        <f aca="false">IF('Calibración de turnos'!$B$10="T1",MID("DDNNLL",MOD($A20-1+'Calibración de turnos'!$D$10,6)+1,1),IF('Calibración de turnos'!$B$10="T2",IF(MOD($A20-1,7)+1&lt;=5,IF(MOD(INT(($A20-1)/7)+'Calibración de turnos'!$D$10,2)=0,"M2","T2"),"L"),IF(MOD($A20-1,7)+1&lt;=5,IF('Calibración de turnos'!$E$10=13,"M3b","M3a"),"L")))</f>
        <v>D</v>
      </c>
      <c r="H20" s="63" t="str">
        <f aca="false">IF('Calibración de turnos'!$B$11="T1",MID("DDNNLL",MOD($A20-1+'Calibración de turnos'!$D$11,6)+1,1),IF('Calibración de turnos'!$B$11="T2",IF(MOD($A20-1,7)+1&lt;=5,IF(MOD(INT(($A20-1)/7)+'Calibración de turnos'!$D$11,2)=0,"M2","T2"),"L"),IF(MOD($A20-1,7)+1&lt;=5,IF('Calibración de turnos'!$E$11=13,"M3b","M3a"),"L")))</f>
        <v>D</v>
      </c>
      <c r="I20" s="63" t="str">
        <f aca="false">IF('Calibración de turnos'!$B$12="T1",MID("DDNNLL",MOD($A20-1+'Calibración de turnos'!$D$12,6)+1,1),IF('Calibración de turnos'!$B$12="T2",IF(MOD($A20-1,7)+1&lt;=5,IF(MOD(INT(($A20-1)/7)+'Calibración de turnos'!$D$12,2)=0,"M2","T2"),"L"),IF(MOD($A20-1,7)+1&lt;=5,IF('Calibración de turnos'!$E$12=13,"M3b","M3a"),"L")))</f>
        <v>M2</v>
      </c>
      <c r="J20" s="63" t="str">
        <f aca="false">IF('Calibración de turnos'!$B$13="T1",MID("DDNNLL",MOD($A20-1+'Calibración de turnos'!$D$13,6)+1,1),IF('Calibración de turnos'!$B$13="T2",IF(MOD($A20-1,7)+1&lt;=5,IF(MOD(INT(($A20-1)/7)+'Calibración de turnos'!$D$13,2)=0,"M2","T2"),"L"),IF(MOD($A20-1,7)+1&lt;=5,IF('Calibración de turnos'!$E$13=13,"M3b","M3a"),"L")))</f>
        <v>T2</v>
      </c>
      <c r="K20" s="63" t="str">
        <f aca="false">IF('Calibración de turnos'!$B$14="T1",MID("DDNNLL",MOD($A20-1+'Calibración de turnos'!$D$14,6)+1,1),IF('Calibración de turnos'!$B$14="T2",IF(MOD($A20-1,7)+1&lt;=5,IF(MOD(INT(($A20-1)/7)+'Calibración de turnos'!$D$14,2)=0,"M2","T2"),"L"),IF(MOD($A20-1,7)+1&lt;=5,IF('Calibración de turnos'!$E$14=13,"M3b","M3a"),"L")))</f>
        <v>M2</v>
      </c>
      <c r="L20" s="63" t="str">
        <f aca="false">IF('Calibración de turnos'!$B$15="T1",MID("DDNNLL",MOD($A20-1+'Calibración de turnos'!$D$15,6)+1,1),IF('Calibración de turnos'!$B$15="T2",IF(MOD($A20-1,7)+1&lt;=5,IF(MOD(INT(($A20-1)/7)+'Calibración de turnos'!$D$15,2)=0,"M2","T2"),"L"),IF(MOD($A20-1,7)+1&lt;=5,IF('Calibración de turnos'!$E$15=13,"M3b","M3a"),"L")))</f>
        <v>T2</v>
      </c>
      <c r="M20" s="63" t="str">
        <f aca="false">IF('Calibración de turnos'!$B$16="T1",MID("DDNNLL",MOD($A20-1+'Calibración de turnos'!$D$16,6)+1,1),IF('Calibración de turnos'!$B$16="T2",IF(MOD($A20-1,7)+1&lt;=5,IF(MOD(INT(($A20-1)/7)+'Calibración de turnos'!$D$16,2)=0,"M2","T2"),"L"),IF(MOD($A20-1,7)+1&lt;=5,IF('Calibración de turnos'!$E$16=13,"M3b","M3a"),"L")))</f>
        <v>M3a</v>
      </c>
      <c r="N20" s="63" t="str">
        <f aca="false">IF('Calibración de turnos'!$B$17="T1",MID("DDNNLL",MOD($A20-1+'Calibración de turnos'!$D$17,6)+1,1),IF('Calibración de turnos'!$B$17="T2",IF(MOD($A20-1,7)+1&lt;=5,IF(MOD(INT(($A20-1)/7)+'Calibración de turnos'!$D$17,2)=0,"M2","T2"),"L"),IF(MOD($A20-1,7)+1&lt;=5,IF('Calibración de turnos'!$E$17=13,"M3b","M3a"),"L")))</f>
        <v>M3a</v>
      </c>
      <c r="O20" s="63" t="str">
        <f aca="false">IF('Calibración de turnos'!$B$18="T1",MID("DDNNLL",MOD($A20-1+'Calibración de turnos'!$D$18,6)+1,1),IF('Calibración de turnos'!$B$18="T2",IF(MOD($A20-1,7)+1&lt;=5,IF(MOD(INT(($A20-1)/7)+'Calibración de turnos'!$D$18,2)=0,"M2","T2"),"L"),IF(MOD($A20-1,7)+1&lt;=5,IF('Calibración de turnos'!$E$18=13,"M3b","M3a"),"L")))</f>
        <v>M3b</v>
      </c>
      <c r="P20" s="63" t="str">
        <f aca="false">IF('Calibración de turnos'!$B$19="T1",MID("DDNNLL",MOD($A20-1+'Calibración de turnos'!$D$19,6)+1,1),IF('Calibración de turnos'!$B$19="T2",IF(MOD($A20-1,7)+1&lt;=5,IF(MOD(INT(($A20-1)/7)+'Calibración de turnos'!$D$19,2)=0,"M2","T2"),"L"),IF(MOD($A20-1,7)+1&lt;=5,IF('Calibración de turnos'!$E$19=13,"M3b","M3a"),"L")))</f>
        <v>M3a</v>
      </c>
      <c r="Q20" s="63" t="str">
        <f aca="false">IF('Calibración de turnos'!$B$20="T1",MID("DDNNLL",MOD($A20-1+'Calibración de turnos'!$D$20,6)+1,1),IF('Calibración de turnos'!$B$20="T2",IF(MOD($A20-1,7)+1&lt;=5,IF(MOD(INT(($A20-1)/7)+'Calibración de turnos'!$D$20,2)=0,"M2","T2"),"L"),IF(MOD($A20-1,7)+1&lt;=5,IF('Calibración de turnos'!$E$20=13,"M3b","M3a"),"L")))</f>
        <v>M3b</v>
      </c>
      <c r="R20" s="63" t="str">
        <f aca="false">IF('Calibración de turnos'!$B$21="T1",MID("DDNNLL",MOD($A20-1+'Calibración de turnos'!$D$21,6)+1,1),IF('Calibración de turnos'!$B$21="T2",IF(MOD($A20-1,7)+1&lt;=5,IF(MOD(INT(($A20-1)/7)+'Calibración de turnos'!$D$21,2)=0,"M2","T2"),"L"),IF(MOD($A20-1,7)+1&lt;=5,IF('Calibración de turnos'!$E$21=13,"M3b","M3a"),"L")))</f>
        <v>M3b</v>
      </c>
      <c r="S20" s="63" t="str">
        <f aca="false">IF('Calibración de turnos'!$B$22="T1",MID("DDNNLL",MOD($A20-1+'Calibración de turnos'!$D$22,6)+1,1),IF('Calibración de turnos'!$B$22="T2",IF(MOD($A20-1,7)+1&lt;=5,IF(MOD(INT(($A20-1)/7)+'Calibración de turnos'!$D$22,2)=0,"M2","T2"),"L"),IF(MOD($A20-1,7)+1&lt;=5,IF('Calibración de turnos'!$E$22=13,"M3b","M3a"),"L")))</f>
        <v>M3a</v>
      </c>
      <c r="T20" s="63" t="str">
        <f aca="false">IF('Calibración de turnos'!$B$23="T1",MID("DDNNLL",MOD($A20-1+'Calibración de turnos'!$D$23,6)+1,1),IF('Calibración de turnos'!$B$23="T2",IF(MOD($A20-1,7)+1&lt;=5,IF(MOD(INT(($A20-1)/7)+'Calibración de turnos'!$D$23,2)=0,"M2","T2"),"L"),IF(MOD($A20-1,7)+1&lt;=5,IF('Calibración de turnos'!$E$23=13,"M3b","M3a"),"L")))</f>
        <v>M3b</v>
      </c>
      <c r="U20" s="63" t="str">
        <f aca="false">IF('Calibración de turnos'!$B$24="T1",MID("DDNNLL",MOD($A20-1+'Calibración de turnos'!$D$24,6)+1,1),IF('Calibración de turnos'!$B$24="T2",IF(MOD($A20-1,7)+1&lt;=5,IF(MOD(INT(($A20-1)/7)+'Calibración de turnos'!$D$24,2)=0,"M2","T2"),"L"),IF(MOD($A20-1,7)+1&lt;=5,IF('Calibración de turnos'!$E$24=13,"M3b","M3a"),"L")))</f>
        <v>M3a</v>
      </c>
      <c r="V20" s="63" t="str">
        <f aca="false">IF('Calibración de turnos'!$B$25="T1",MID("DDNNLL",MOD($A20-1+'Calibración de turnos'!$D$25,6)+1,1),IF('Calibración de turnos'!$B$25="T2",IF(MOD($A20-1,7)+1&lt;=5,IF(MOD(INT(($A20-1)/7)+'Calibración de turnos'!$D$25,2)=0,"M2","T2"),"L"),IF(MOD($A20-1,7)+1&lt;=5,IF('Calibración de turnos'!$E$25=13,"M3b","M3a"),"L")))</f>
        <v>M3b</v>
      </c>
    </row>
    <row r="21" customFormat="false" ht="15" hidden="false" customHeight="false" outlineLevel="0" collapsed="false">
      <c r="A21" s="18" t="n">
        <v>17</v>
      </c>
      <c r="B21" s="18" t="str">
        <f aca="false">CHOOSE(MOD(A21-1,7)+1,"lunes","martes","miércoles","jueves","viernes","sábado","domingo")</f>
        <v>miércoles</v>
      </c>
      <c r="C21" s="63" t="str">
        <f aca="false">IF('Calibración de turnos'!$B$6="T1",MID("DDNNLL",MOD($A21-1+'Calibración de turnos'!$D$6,6)+1,1),IF('Calibración de turnos'!$B$6="T2",IF(MOD($A21-1,7)+1&lt;=5,IF(MOD(INT(($A21-1)/7)+'Calibración de turnos'!$D$6,2)=0,"M2","T2"),"L"),IF(MOD($A21-1,7)+1&lt;=5,IF('Calibración de turnos'!$E$6=13,"M3b","M3a"),"L")))</f>
        <v>L</v>
      </c>
      <c r="D21" s="63" t="str">
        <f aca="false">IF('Calibración de turnos'!$B$7="T1",MID("DDNNLL",MOD($A21-1+'Calibración de turnos'!$D$7,6)+1,1),IF('Calibración de turnos'!$B$7="T2",IF(MOD($A21-1,7)+1&lt;=5,IF(MOD(INT(($A21-1)/7)+'Calibración de turnos'!$D$7,2)=0,"M2","T2"),"L"),IF(MOD($A21-1,7)+1&lt;=5,IF('Calibración de turnos'!$E$7=13,"M3b","M3a"),"L")))</f>
        <v>D</v>
      </c>
      <c r="E21" s="63" t="str">
        <f aca="false">IF('Calibración de turnos'!$B$8="T1",MID("DDNNLL",MOD($A21-1+'Calibración de turnos'!$D$8,6)+1,1),IF('Calibración de turnos'!$B$8="T2",IF(MOD($A21-1,7)+1&lt;=5,IF(MOD(INT(($A21-1)/7)+'Calibración de turnos'!$D$8,2)=0,"M2","T2"),"L"),IF(MOD($A21-1,7)+1&lt;=5,IF('Calibración de turnos'!$E$8=13,"M3b","M3a"),"L")))</f>
        <v>L</v>
      </c>
      <c r="F21" s="63" t="str">
        <f aca="false">IF('Calibración de turnos'!$B$9="T1",MID("DDNNLL",MOD($A21-1+'Calibración de turnos'!$D$9,6)+1,1),IF('Calibración de turnos'!$B$9="T2",IF(MOD($A21-1,7)+1&lt;=5,IF(MOD(INT(($A21-1)/7)+'Calibración de turnos'!$D$9,2)=0,"M2","T2"),"L"),IF(MOD($A21-1,7)+1&lt;=5,IF('Calibración de turnos'!$E$9=13,"M3b","M3a"),"L")))</f>
        <v>D</v>
      </c>
      <c r="G21" s="63" t="str">
        <f aca="false">IF('Calibración de turnos'!$B$10="T1",MID("DDNNLL",MOD($A21-1+'Calibración de turnos'!$D$10,6)+1,1),IF('Calibración de turnos'!$B$10="T2",IF(MOD($A21-1,7)+1&lt;=5,IF(MOD(INT(($A21-1)/7)+'Calibración de turnos'!$D$10,2)=0,"M2","T2"),"L"),IF(MOD($A21-1,7)+1&lt;=5,IF('Calibración de turnos'!$E$10=13,"M3b","M3a"),"L")))</f>
        <v>N</v>
      </c>
      <c r="H21" s="63" t="str">
        <f aca="false">IF('Calibración de turnos'!$B$11="T1",MID("DDNNLL",MOD($A21-1+'Calibración de turnos'!$D$11,6)+1,1),IF('Calibración de turnos'!$B$11="T2",IF(MOD($A21-1,7)+1&lt;=5,IF(MOD(INT(($A21-1)/7)+'Calibración de turnos'!$D$11,2)=0,"M2","T2"),"L"),IF(MOD($A21-1,7)+1&lt;=5,IF('Calibración de turnos'!$E$11=13,"M3b","M3a"),"L")))</f>
        <v>N</v>
      </c>
      <c r="I21" s="63" t="str">
        <f aca="false">IF('Calibración de turnos'!$B$12="T1",MID("DDNNLL",MOD($A21-1+'Calibración de turnos'!$D$12,6)+1,1),IF('Calibración de turnos'!$B$12="T2",IF(MOD($A21-1,7)+1&lt;=5,IF(MOD(INT(($A21-1)/7)+'Calibración de turnos'!$D$12,2)=0,"M2","T2"),"L"),IF(MOD($A21-1,7)+1&lt;=5,IF('Calibración de turnos'!$E$12=13,"M3b","M3a"),"L")))</f>
        <v>M2</v>
      </c>
      <c r="J21" s="63" t="str">
        <f aca="false">IF('Calibración de turnos'!$B$13="T1",MID("DDNNLL",MOD($A21-1+'Calibración de turnos'!$D$13,6)+1,1),IF('Calibración de turnos'!$B$13="T2",IF(MOD($A21-1,7)+1&lt;=5,IF(MOD(INT(($A21-1)/7)+'Calibración de turnos'!$D$13,2)=0,"M2","T2"),"L"),IF(MOD($A21-1,7)+1&lt;=5,IF('Calibración de turnos'!$E$13=13,"M3b","M3a"),"L")))</f>
        <v>T2</v>
      </c>
      <c r="K21" s="63" t="str">
        <f aca="false">IF('Calibración de turnos'!$B$14="T1",MID("DDNNLL",MOD($A21-1+'Calibración de turnos'!$D$14,6)+1,1),IF('Calibración de turnos'!$B$14="T2",IF(MOD($A21-1,7)+1&lt;=5,IF(MOD(INT(($A21-1)/7)+'Calibración de turnos'!$D$14,2)=0,"M2","T2"),"L"),IF(MOD($A21-1,7)+1&lt;=5,IF('Calibración de turnos'!$E$14=13,"M3b","M3a"),"L")))</f>
        <v>M2</v>
      </c>
      <c r="L21" s="63" t="str">
        <f aca="false">IF('Calibración de turnos'!$B$15="T1",MID("DDNNLL",MOD($A21-1+'Calibración de turnos'!$D$15,6)+1,1),IF('Calibración de turnos'!$B$15="T2",IF(MOD($A21-1,7)+1&lt;=5,IF(MOD(INT(($A21-1)/7)+'Calibración de turnos'!$D$15,2)=0,"M2","T2"),"L"),IF(MOD($A21-1,7)+1&lt;=5,IF('Calibración de turnos'!$E$15=13,"M3b","M3a"),"L")))</f>
        <v>T2</v>
      </c>
      <c r="M21" s="63" t="str">
        <f aca="false">IF('Calibración de turnos'!$B$16="T1",MID("DDNNLL",MOD($A21-1+'Calibración de turnos'!$D$16,6)+1,1),IF('Calibración de turnos'!$B$16="T2",IF(MOD($A21-1,7)+1&lt;=5,IF(MOD(INT(($A21-1)/7)+'Calibración de turnos'!$D$16,2)=0,"M2","T2"),"L"),IF(MOD($A21-1,7)+1&lt;=5,IF('Calibración de turnos'!$E$16=13,"M3b","M3a"),"L")))</f>
        <v>M3a</v>
      </c>
      <c r="N21" s="63" t="str">
        <f aca="false">IF('Calibración de turnos'!$B$17="T1",MID("DDNNLL",MOD($A21-1+'Calibración de turnos'!$D$17,6)+1,1),IF('Calibración de turnos'!$B$17="T2",IF(MOD($A21-1,7)+1&lt;=5,IF(MOD(INT(($A21-1)/7)+'Calibración de turnos'!$D$17,2)=0,"M2","T2"),"L"),IF(MOD($A21-1,7)+1&lt;=5,IF('Calibración de turnos'!$E$17=13,"M3b","M3a"),"L")))</f>
        <v>M3a</v>
      </c>
      <c r="O21" s="63" t="str">
        <f aca="false">IF('Calibración de turnos'!$B$18="T1",MID("DDNNLL",MOD($A21-1+'Calibración de turnos'!$D$18,6)+1,1),IF('Calibración de turnos'!$B$18="T2",IF(MOD($A21-1,7)+1&lt;=5,IF(MOD(INT(($A21-1)/7)+'Calibración de turnos'!$D$18,2)=0,"M2","T2"),"L"),IF(MOD($A21-1,7)+1&lt;=5,IF('Calibración de turnos'!$E$18=13,"M3b","M3a"),"L")))</f>
        <v>M3b</v>
      </c>
      <c r="P21" s="63" t="str">
        <f aca="false">IF('Calibración de turnos'!$B$19="T1",MID("DDNNLL",MOD($A21-1+'Calibración de turnos'!$D$19,6)+1,1),IF('Calibración de turnos'!$B$19="T2",IF(MOD($A21-1,7)+1&lt;=5,IF(MOD(INT(($A21-1)/7)+'Calibración de turnos'!$D$19,2)=0,"M2","T2"),"L"),IF(MOD($A21-1,7)+1&lt;=5,IF('Calibración de turnos'!$E$19=13,"M3b","M3a"),"L")))</f>
        <v>M3a</v>
      </c>
      <c r="Q21" s="63" t="str">
        <f aca="false">IF('Calibración de turnos'!$B$20="T1",MID("DDNNLL",MOD($A21-1+'Calibración de turnos'!$D$20,6)+1,1),IF('Calibración de turnos'!$B$20="T2",IF(MOD($A21-1,7)+1&lt;=5,IF(MOD(INT(($A21-1)/7)+'Calibración de turnos'!$D$20,2)=0,"M2","T2"),"L"),IF(MOD($A21-1,7)+1&lt;=5,IF('Calibración de turnos'!$E$20=13,"M3b","M3a"),"L")))</f>
        <v>M3b</v>
      </c>
      <c r="R21" s="63" t="str">
        <f aca="false">IF('Calibración de turnos'!$B$21="T1",MID("DDNNLL",MOD($A21-1+'Calibración de turnos'!$D$21,6)+1,1),IF('Calibración de turnos'!$B$21="T2",IF(MOD($A21-1,7)+1&lt;=5,IF(MOD(INT(($A21-1)/7)+'Calibración de turnos'!$D$21,2)=0,"M2","T2"),"L"),IF(MOD($A21-1,7)+1&lt;=5,IF('Calibración de turnos'!$E$21=13,"M3b","M3a"),"L")))</f>
        <v>M3b</v>
      </c>
      <c r="S21" s="63" t="str">
        <f aca="false">IF('Calibración de turnos'!$B$22="T1",MID("DDNNLL",MOD($A21-1+'Calibración de turnos'!$D$22,6)+1,1),IF('Calibración de turnos'!$B$22="T2",IF(MOD($A21-1,7)+1&lt;=5,IF(MOD(INT(($A21-1)/7)+'Calibración de turnos'!$D$22,2)=0,"M2","T2"),"L"),IF(MOD($A21-1,7)+1&lt;=5,IF('Calibración de turnos'!$E$22=13,"M3b","M3a"),"L")))</f>
        <v>M3a</v>
      </c>
      <c r="T21" s="63" t="str">
        <f aca="false">IF('Calibración de turnos'!$B$23="T1",MID("DDNNLL",MOD($A21-1+'Calibración de turnos'!$D$23,6)+1,1),IF('Calibración de turnos'!$B$23="T2",IF(MOD($A21-1,7)+1&lt;=5,IF(MOD(INT(($A21-1)/7)+'Calibración de turnos'!$D$23,2)=0,"M2","T2"),"L"),IF(MOD($A21-1,7)+1&lt;=5,IF('Calibración de turnos'!$E$23=13,"M3b","M3a"),"L")))</f>
        <v>M3b</v>
      </c>
      <c r="U21" s="63" t="str">
        <f aca="false">IF('Calibración de turnos'!$B$24="T1",MID("DDNNLL",MOD($A21-1+'Calibración de turnos'!$D$24,6)+1,1),IF('Calibración de turnos'!$B$24="T2",IF(MOD($A21-1,7)+1&lt;=5,IF(MOD(INT(($A21-1)/7)+'Calibración de turnos'!$D$24,2)=0,"M2","T2"),"L"),IF(MOD($A21-1,7)+1&lt;=5,IF('Calibración de turnos'!$E$24=13,"M3b","M3a"),"L")))</f>
        <v>M3a</v>
      </c>
      <c r="V21" s="63" t="str">
        <f aca="false">IF('Calibración de turnos'!$B$25="T1",MID("DDNNLL",MOD($A21-1+'Calibración de turnos'!$D$25,6)+1,1),IF('Calibración de turnos'!$B$25="T2",IF(MOD($A21-1,7)+1&lt;=5,IF(MOD(INT(($A21-1)/7)+'Calibración de turnos'!$D$25,2)=0,"M2","T2"),"L"),IF(MOD($A21-1,7)+1&lt;=5,IF('Calibración de turnos'!$E$25=13,"M3b","M3a"),"L")))</f>
        <v>M3b</v>
      </c>
    </row>
    <row r="22" customFormat="false" ht="15" hidden="false" customHeight="false" outlineLevel="0" collapsed="false">
      <c r="A22" s="18" t="n">
        <v>18</v>
      </c>
      <c r="B22" s="18" t="str">
        <f aca="false">CHOOSE(MOD(A22-1,7)+1,"lunes","martes","miércoles","jueves","viernes","sábado","domingo")</f>
        <v>jueves</v>
      </c>
      <c r="C22" s="63" t="str">
        <f aca="false">IF('Calibración de turnos'!$B$6="T1",MID("DDNNLL",MOD($A22-1+'Calibración de turnos'!$D$6,6)+1,1),IF('Calibración de turnos'!$B$6="T2",IF(MOD($A22-1,7)+1&lt;=5,IF(MOD(INT(($A22-1)/7)+'Calibración de turnos'!$D$6,2)=0,"M2","T2"),"L"),IF(MOD($A22-1,7)+1&lt;=5,IF('Calibración de turnos'!$E$6=13,"M3b","M3a"),"L")))</f>
        <v>L</v>
      </c>
      <c r="D22" s="63" t="str">
        <f aca="false">IF('Calibración de turnos'!$B$7="T1",MID("DDNNLL",MOD($A22-1+'Calibración de turnos'!$D$7,6)+1,1),IF('Calibración de turnos'!$B$7="T2",IF(MOD($A22-1,7)+1&lt;=5,IF(MOD(INT(($A22-1)/7)+'Calibración de turnos'!$D$7,2)=0,"M2","T2"),"L"),IF(MOD($A22-1,7)+1&lt;=5,IF('Calibración de turnos'!$E$7=13,"M3b","M3a"),"L")))</f>
        <v>D</v>
      </c>
      <c r="E22" s="63" t="str">
        <f aca="false">IF('Calibración de turnos'!$B$8="T1",MID("DDNNLL",MOD($A22-1+'Calibración de turnos'!$D$8,6)+1,1),IF('Calibración de turnos'!$B$8="T2",IF(MOD($A22-1,7)+1&lt;=5,IF(MOD(INT(($A22-1)/7)+'Calibración de turnos'!$D$8,2)=0,"M2","T2"),"L"),IF(MOD($A22-1,7)+1&lt;=5,IF('Calibración de turnos'!$E$8=13,"M3b","M3a"),"L")))</f>
        <v>L</v>
      </c>
      <c r="F22" s="63" t="str">
        <f aca="false">IF('Calibración de turnos'!$B$9="T1",MID("DDNNLL",MOD($A22-1+'Calibración de turnos'!$D$9,6)+1,1),IF('Calibración de turnos'!$B$9="T2",IF(MOD($A22-1,7)+1&lt;=5,IF(MOD(INT(($A22-1)/7)+'Calibración de turnos'!$D$9,2)=0,"M2","T2"),"L"),IF(MOD($A22-1,7)+1&lt;=5,IF('Calibración de turnos'!$E$9=13,"M3b","M3a"),"L")))</f>
        <v>D</v>
      </c>
      <c r="G22" s="63" t="str">
        <f aca="false">IF('Calibración de turnos'!$B$10="T1",MID("DDNNLL",MOD($A22-1+'Calibración de turnos'!$D$10,6)+1,1),IF('Calibración de turnos'!$B$10="T2",IF(MOD($A22-1,7)+1&lt;=5,IF(MOD(INT(($A22-1)/7)+'Calibración de turnos'!$D$10,2)=0,"M2","T2"),"L"),IF(MOD($A22-1,7)+1&lt;=5,IF('Calibración de turnos'!$E$10=13,"M3b","M3a"),"L")))</f>
        <v>N</v>
      </c>
      <c r="H22" s="63" t="str">
        <f aca="false">IF('Calibración de turnos'!$B$11="T1",MID("DDNNLL",MOD($A22-1+'Calibración de turnos'!$D$11,6)+1,1),IF('Calibración de turnos'!$B$11="T2",IF(MOD($A22-1,7)+1&lt;=5,IF(MOD(INT(($A22-1)/7)+'Calibración de turnos'!$D$11,2)=0,"M2","T2"),"L"),IF(MOD($A22-1,7)+1&lt;=5,IF('Calibración de turnos'!$E$11=13,"M3b","M3a"),"L")))</f>
        <v>N</v>
      </c>
      <c r="I22" s="63" t="str">
        <f aca="false">IF('Calibración de turnos'!$B$12="T1",MID("DDNNLL",MOD($A22-1+'Calibración de turnos'!$D$12,6)+1,1),IF('Calibración de turnos'!$B$12="T2",IF(MOD($A22-1,7)+1&lt;=5,IF(MOD(INT(($A22-1)/7)+'Calibración de turnos'!$D$12,2)=0,"M2","T2"),"L"),IF(MOD($A22-1,7)+1&lt;=5,IF('Calibración de turnos'!$E$12=13,"M3b","M3a"),"L")))</f>
        <v>M2</v>
      </c>
      <c r="J22" s="63" t="str">
        <f aca="false">IF('Calibración de turnos'!$B$13="T1",MID("DDNNLL",MOD($A22-1+'Calibración de turnos'!$D$13,6)+1,1),IF('Calibración de turnos'!$B$13="T2",IF(MOD($A22-1,7)+1&lt;=5,IF(MOD(INT(($A22-1)/7)+'Calibración de turnos'!$D$13,2)=0,"M2","T2"),"L"),IF(MOD($A22-1,7)+1&lt;=5,IF('Calibración de turnos'!$E$13=13,"M3b","M3a"),"L")))</f>
        <v>T2</v>
      </c>
      <c r="K22" s="63" t="str">
        <f aca="false">IF('Calibración de turnos'!$B$14="T1",MID("DDNNLL",MOD($A22-1+'Calibración de turnos'!$D$14,6)+1,1),IF('Calibración de turnos'!$B$14="T2",IF(MOD($A22-1,7)+1&lt;=5,IF(MOD(INT(($A22-1)/7)+'Calibración de turnos'!$D$14,2)=0,"M2","T2"),"L"),IF(MOD($A22-1,7)+1&lt;=5,IF('Calibración de turnos'!$E$14=13,"M3b","M3a"),"L")))</f>
        <v>M2</v>
      </c>
      <c r="L22" s="63" t="str">
        <f aca="false">IF('Calibración de turnos'!$B$15="T1",MID("DDNNLL",MOD($A22-1+'Calibración de turnos'!$D$15,6)+1,1),IF('Calibración de turnos'!$B$15="T2",IF(MOD($A22-1,7)+1&lt;=5,IF(MOD(INT(($A22-1)/7)+'Calibración de turnos'!$D$15,2)=0,"M2","T2"),"L"),IF(MOD($A22-1,7)+1&lt;=5,IF('Calibración de turnos'!$E$15=13,"M3b","M3a"),"L")))</f>
        <v>T2</v>
      </c>
      <c r="M22" s="63" t="str">
        <f aca="false">IF('Calibración de turnos'!$B$16="T1",MID("DDNNLL",MOD($A22-1+'Calibración de turnos'!$D$16,6)+1,1),IF('Calibración de turnos'!$B$16="T2",IF(MOD($A22-1,7)+1&lt;=5,IF(MOD(INT(($A22-1)/7)+'Calibración de turnos'!$D$16,2)=0,"M2","T2"),"L"),IF(MOD($A22-1,7)+1&lt;=5,IF('Calibración de turnos'!$E$16=13,"M3b","M3a"),"L")))</f>
        <v>M3a</v>
      </c>
      <c r="N22" s="63" t="str">
        <f aca="false">IF('Calibración de turnos'!$B$17="T1",MID("DDNNLL",MOD($A22-1+'Calibración de turnos'!$D$17,6)+1,1),IF('Calibración de turnos'!$B$17="T2",IF(MOD($A22-1,7)+1&lt;=5,IF(MOD(INT(($A22-1)/7)+'Calibración de turnos'!$D$17,2)=0,"M2","T2"),"L"),IF(MOD($A22-1,7)+1&lt;=5,IF('Calibración de turnos'!$E$17=13,"M3b","M3a"),"L")))</f>
        <v>M3a</v>
      </c>
      <c r="O22" s="63" t="str">
        <f aca="false">IF('Calibración de turnos'!$B$18="T1",MID("DDNNLL",MOD($A22-1+'Calibración de turnos'!$D$18,6)+1,1),IF('Calibración de turnos'!$B$18="T2",IF(MOD($A22-1,7)+1&lt;=5,IF(MOD(INT(($A22-1)/7)+'Calibración de turnos'!$D$18,2)=0,"M2","T2"),"L"),IF(MOD($A22-1,7)+1&lt;=5,IF('Calibración de turnos'!$E$18=13,"M3b","M3a"),"L")))</f>
        <v>M3b</v>
      </c>
      <c r="P22" s="63" t="str">
        <f aca="false">IF('Calibración de turnos'!$B$19="T1",MID("DDNNLL",MOD($A22-1+'Calibración de turnos'!$D$19,6)+1,1),IF('Calibración de turnos'!$B$19="T2",IF(MOD($A22-1,7)+1&lt;=5,IF(MOD(INT(($A22-1)/7)+'Calibración de turnos'!$D$19,2)=0,"M2","T2"),"L"),IF(MOD($A22-1,7)+1&lt;=5,IF('Calibración de turnos'!$E$19=13,"M3b","M3a"),"L")))</f>
        <v>M3a</v>
      </c>
      <c r="Q22" s="63" t="str">
        <f aca="false">IF('Calibración de turnos'!$B$20="T1",MID("DDNNLL",MOD($A22-1+'Calibración de turnos'!$D$20,6)+1,1),IF('Calibración de turnos'!$B$20="T2",IF(MOD($A22-1,7)+1&lt;=5,IF(MOD(INT(($A22-1)/7)+'Calibración de turnos'!$D$20,2)=0,"M2","T2"),"L"),IF(MOD($A22-1,7)+1&lt;=5,IF('Calibración de turnos'!$E$20=13,"M3b","M3a"),"L")))</f>
        <v>M3b</v>
      </c>
      <c r="R22" s="63" t="str">
        <f aca="false">IF('Calibración de turnos'!$B$21="T1",MID("DDNNLL",MOD($A22-1+'Calibración de turnos'!$D$21,6)+1,1),IF('Calibración de turnos'!$B$21="T2",IF(MOD($A22-1,7)+1&lt;=5,IF(MOD(INT(($A22-1)/7)+'Calibración de turnos'!$D$21,2)=0,"M2","T2"),"L"),IF(MOD($A22-1,7)+1&lt;=5,IF('Calibración de turnos'!$E$21=13,"M3b","M3a"),"L")))</f>
        <v>M3b</v>
      </c>
      <c r="S22" s="63" t="str">
        <f aca="false">IF('Calibración de turnos'!$B$22="T1",MID("DDNNLL",MOD($A22-1+'Calibración de turnos'!$D$22,6)+1,1),IF('Calibración de turnos'!$B$22="T2",IF(MOD($A22-1,7)+1&lt;=5,IF(MOD(INT(($A22-1)/7)+'Calibración de turnos'!$D$22,2)=0,"M2","T2"),"L"),IF(MOD($A22-1,7)+1&lt;=5,IF('Calibración de turnos'!$E$22=13,"M3b","M3a"),"L")))</f>
        <v>M3a</v>
      </c>
      <c r="T22" s="63" t="str">
        <f aca="false">IF('Calibración de turnos'!$B$23="T1",MID("DDNNLL",MOD($A22-1+'Calibración de turnos'!$D$23,6)+1,1),IF('Calibración de turnos'!$B$23="T2",IF(MOD($A22-1,7)+1&lt;=5,IF(MOD(INT(($A22-1)/7)+'Calibración de turnos'!$D$23,2)=0,"M2","T2"),"L"),IF(MOD($A22-1,7)+1&lt;=5,IF('Calibración de turnos'!$E$23=13,"M3b","M3a"),"L")))</f>
        <v>M3b</v>
      </c>
      <c r="U22" s="63" t="str">
        <f aca="false">IF('Calibración de turnos'!$B$24="T1",MID("DDNNLL",MOD($A22-1+'Calibración de turnos'!$D$24,6)+1,1),IF('Calibración de turnos'!$B$24="T2",IF(MOD($A22-1,7)+1&lt;=5,IF(MOD(INT(($A22-1)/7)+'Calibración de turnos'!$D$24,2)=0,"M2","T2"),"L"),IF(MOD($A22-1,7)+1&lt;=5,IF('Calibración de turnos'!$E$24=13,"M3b","M3a"),"L")))</f>
        <v>M3a</v>
      </c>
      <c r="V22" s="63" t="str">
        <f aca="false">IF('Calibración de turnos'!$B$25="T1",MID("DDNNLL",MOD($A22-1+'Calibración de turnos'!$D$25,6)+1,1),IF('Calibración de turnos'!$B$25="T2",IF(MOD($A22-1,7)+1&lt;=5,IF(MOD(INT(($A22-1)/7)+'Calibración de turnos'!$D$25,2)=0,"M2","T2"),"L"),IF(MOD($A22-1,7)+1&lt;=5,IF('Calibración de turnos'!$E$25=13,"M3b","M3a"),"L")))</f>
        <v>M3b</v>
      </c>
    </row>
    <row r="23" customFormat="false" ht="15" hidden="false" customHeight="false" outlineLevel="0" collapsed="false">
      <c r="A23" s="18" t="n">
        <v>19</v>
      </c>
      <c r="B23" s="18" t="str">
        <f aca="false">CHOOSE(MOD(A23-1,7)+1,"lunes","martes","miércoles","jueves","viernes","sábado","domingo")</f>
        <v>viernes</v>
      </c>
      <c r="C23" s="63" t="str">
        <f aca="false">IF('Calibración de turnos'!$B$6="T1",MID("DDNNLL",MOD($A23-1+'Calibración de turnos'!$D$6,6)+1,1),IF('Calibración de turnos'!$B$6="T2",IF(MOD($A23-1,7)+1&lt;=5,IF(MOD(INT(($A23-1)/7)+'Calibración de turnos'!$D$6,2)=0,"M2","T2"),"L"),IF(MOD($A23-1,7)+1&lt;=5,IF('Calibración de turnos'!$E$6=13,"M3b","M3a"),"L")))</f>
        <v>D</v>
      </c>
      <c r="D23" s="63" t="str">
        <f aca="false">IF('Calibración de turnos'!$B$7="T1",MID("DDNNLL",MOD($A23-1+'Calibración de turnos'!$D$7,6)+1,1),IF('Calibración de turnos'!$B$7="T2",IF(MOD($A23-1,7)+1&lt;=5,IF(MOD(INT(($A23-1)/7)+'Calibración de turnos'!$D$7,2)=0,"M2","T2"),"L"),IF(MOD($A23-1,7)+1&lt;=5,IF('Calibración de turnos'!$E$7=13,"M3b","M3a"),"L")))</f>
        <v>N</v>
      </c>
      <c r="E23" s="63" t="str">
        <f aca="false">IF('Calibración de turnos'!$B$8="T1",MID("DDNNLL",MOD($A23-1+'Calibración de turnos'!$D$8,6)+1,1),IF('Calibración de turnos'!$B$8="T2",IF(MOD($A23-1,7)+1&lt;=5,IF(MOD(INT(($A23-1)/7)+'Calibración de turnos'!$D$8,2)=0,"M2","T2"),"L"),IF(MOD($A23-1,7)+1&lt;=5,IF('Calibración de turnos'!$E$8=13,"M3b","M3a"),"L")))</f>
        <v>D</v>
      </c>
      <c r="F23" s="63" t="str">
        <f aca="false">IF('Calibración de turnos'!$B$9="T1",MID("DDNNLL",MOD($A23-1+'Calibración de turnos'!$D$9,6)+1,1),IF('Calibración de turnos'!$B$9="T2",IF(MOD($A23-1,7)+1&lt;=5,IF(MOD(INT(($A23-1)/7)+'Calibración de turnos'!$D$9,2)=0,"M2","T2"),"L"),IF(MOD($A23-1,7)+1&lt;=5,IF('Calibración de turnos'!$E$9=13,"M3b","M3a"),"L")))</f>
        <v>N</v>
      </c>
      <c r="G23" s="63" t="str">
        <f aca="false">IF('Calibración de turnos'!$B$10="T1",MID("DDNNLL",MOD($A23-1+'Calibración de turnos'!$D$10,6)+1,1),IF('Calibración de turnos'!$B$10="T2",IF(MOD($A23-1,7)+1&lt;=5,IF(MOD(INT(($A23-1)/7)+'Calibración de turnos'!$D$10,2)=0,"M2","T2"),"L"),IF(MOD($A23-1,7)+1&lt;=5,IF('Calibración de turnos'!$E$10=13,"M3b","M3a"),"L")))</f>
        <v>L</v>
      </c>
      <c r="H23" s="63" t="str">
        <f aca="false">IF('Calibración de turnos'!$B$11="T1",MID("DDNNLL",MOD($A23-1+'Calibración de turnos'!$D$11,6)+1,1),IF('Calibración de turnos'!$B$11="T2",IF(MOD($A23-1,7)+1&lt;=5,IF(MOD(INT(($A23-1)/7)+'Calibración de turnos'!$D$11,2)=0,"M2","T2"),"L"),IF(MOD($A23-1,7)+1&lt;=5,IF('Calibración de turnos'!$E$11=13,"M3b","M3a"),"L")))</f>
        <v>L</v>
      </c>
      <c r="I23" s="63" t="str">
        <f aca="false">IF('Calibración de turnos'!$B$12="T1",MID("DDNNLL",MOD($A23-1+'Calibración de turnos'!$D$12,6)+1,1),IF('Calibración de turnos'!$B$12="T2",IF(MOD($A23-1,7)+1&lt;=5,IF(MOD(INT(($A23-1)/7)+'Calibración de turnos'!$D$12,2)=0,"M2","T2"),"L"),IF(MOD($A23-1,7)+1&lt;=5,IF('Calibración de turnos'!$E$12=13,"M3b","M3a"),"L")))</f>
        <v>M2</v>
      </c>
      <c r="J23" s="63" t="str">
        <f aca="false">IF('Calibración de turnos'!$B$13="T1",MID("DDNNLL",MOD($A23-1+'Calibración de turnos'!$D$13,6)+1,1),IF('Calibración de turnos'!$B$13="T2",IF(MOD($A23-1,7)+1&lt;=5,IF(MOD(INT(($A23-1)/7)+'Calibración de turnos'!$D$13,2)=0,"M2","T2"),"L"),IF(MOD($A23-1,7)+1&lt;=5,IF('Calibración de turnos'!$E$13=13,"M3b","M3a"),"L")))</f>
        <v>T2</v>
      </c>
      <c r="K23" s="63" t="str">
        <f aca="false">IF('Calibración de turnos'!$B$14="T1",MID("DDNNLL",MOD($A23-1+'Calibración de turnos'!$D$14,6)+1,1),IF('Calibración de turnos'!$B$14="T2",IF(MOD($A23-1,7)+1&lt;=5,IF(MOD(INT(($A23-1)/7)+'Calibración de turnos'!$D$14,2)=0,"M2","T2"),"L"),IF(MOD($A23-1,7)+1&lt;=5,IF('Calibración de turnos'!$E$14=13,"M3b","M3a"),"L")))</f>
        <v>M2</v>
      </c>
      <c r="L23" s="63" t="str">
        <f aca="false">IF('Calibración de turnos'!$B$15="T1",MID("DDNNLL",MOD($A23-1+'Calibración de turnos'!$D$15,6)+1,1),IF('Calibración de turnos'!$B$15="T2",IF(MOD($A23-1,7)+1&lt;=5,IF(MOD(INT(($A23-1)/7)+'Calibración de turnos'!$D$15,2)=0,"M2","T2"),"L"),IF(MOD($A23-1,7)+1&lt;=5,IF('Calibración de turnos'!$E$15=13,"M3b","M3a"),"L")))</f>
        <v>T2</v>
      </c>
      <c r="M23" s="63" t="str">
        <f aca="false">IF('Calibración de turnos'!$B$16="T1",MID("DDNNLL",MOD($A23-1+'Calibración de turnos'!$D$16,6)+1,1),IF('Calibración de turnos'!$B$16="T2",IF(MOD($A23-1,7)+1&lt;=5,IF(MOD(INT(($A23-1)/7)+'Calibración de turnos'!$D$16,2)=0,"M2","T2"),"L"),IF(MOD($A23-1,7)+1&lt;=5,IF('Calibración de turnos'!$E$16=13,"M3b","M3a"),"L")))</f>
        <v>M3a</v>
      </c>
      <c r="N23" s="63" t="str">
        <f aca="false">IF('Calibración de turnos'!$B$17="T1",MID("DDNNLL",MOD($A23-1+'Calibración de turnos'!$D$17,6)+1,1),IF('Calibración de turnos'!$B$17="T2",IF(MOD($A23-1,7)+1&lt;=5,IF(MOD(INT(($A23-1)/7)+'Calibración de turnos'!$D$17,2)=0,"M2","T2"),"L"),IF(MOD($A23-1,7)+1&lt;=5,IF('Calibración de turnos'!$E$17=13,"M3b","M3a"),"L")))</f>
        <v>M3a</v>
      </c>
      <c r="O23" s="63" t="str">
        <f aca="false">IF('Calibración de turnos'!$B$18="T1",MID("DDNNLL",MOD($A23-1+'Calibración de turnos'!$D$18,6)+1,1),IF('Calibración de turnos'!$B$18="T2",IF(MOD($A23-1,7)+1&lt;=5,IF(MOD(INT(($A23-1)/7)+'Calibración de turnos'!$D$18,2)=0,"M2","T2"),"L"),IF(MOD($A23-1,7)+1&lt;=5,IF('Calibración de turnos'!$E$18=13,"M3b","M3a"),"L")))</f>
        <v>M3b</v>
      </c>
      <c r="P23" s="63" t="str">
        <f aca="false">IF('Calibración de turnos'!$B$19="T1",MID("DDNNLL",MOD($A23-1+'Calibración de turnos'!$D$19,6)+1,1),IF('Calibración de turnos'!$B$19="T2",IF(MOD($A23-1,7)+1&lt;=5,IF(MOD(INT(($A23-1)/7)+'Calibración de turnos'!$D$19,2)=0,"M2","T2"),"L"),IF(MOD($A23-1,7)+1&lt;=5,IF('Calibración de turnos'!$E$19=13,"M3b","M3a"),"L")))</f>
        <v>M3a</v>
      </c>
      <c r="Q23" s="63" t="str">
        <f aca="false">IF('Calibración de turnos'!$B$20="T1",MID("DDNNLL",MOD($A23-1+'Calibración de turnos'!$D$20,6)+1,1),IF('Calibración de turnos'!$B$20="T2",IF(MOD($A23-1,7)+1&lt;=5,IF(MOD(INT(($A23-1)/7)+'Calibración de turnos'!$D$20,2)=0,"M2","T2"),"L"),IF(MOD($A23-1,7)+1&lt;=5,IF('Calibración de turnos'!$E$20=13,"M3b","M3a"),"L")))</f>
        <v>M3b</v>
      </c>
      <c r="R23" s="63" t="str">
        <f aca="false">IF('Calibración de turnos'!$B$21="T1",MID("DDNNLL",MOD($A23-1+'Calibración de turnos'!$D$21,6)+1,1),IF('Calibración de turnos'!$B$21="T2",IF(MOD($A23-1,7)+1&lt;=5,IF(MOD(INT(($A23-1)/7)+'Calibración de turnos'!$D$21,2)=0,"M2","T2"),"L"),IF(MOD($A23-1,7)+1&lt;=5,IF('Calibración de turnos'!$E$21=13,"M3b","M3a"),"L")))</f>
        <v>M3b</v>
      </c>
      <c r="S23" s="63" t="str">
        <f aca="false">IF('Calibración de turnos'!$B$22="T1",MID("DDNNLL",MOD($A23-1+'Calibración de turnos'!$D$22,6)+1,1),IF('Calibración de turnos'!$B$22="T2",IF(MOD($A23-1,7)+1&lt;=5,IF(MOD(INT(($A23-1)/7)+'Calibración de turnos'!$D$22,2)=0,"M2","T2"),"L"),IF(MOD($A23-1,7)+1&lt;=5,IF('Calibración de turnos'!$E$22=13,"M3b","M3a"),"L")))</f>
        <v>M3a</v>
      </c>
      <c r="T23" s="63" t="str">
        <f aca="false">IF('Calibración de turnos'!$B$23="T1",MID("DDNNLL",MOD($A23-1+'Calibración de turnos'!$D$23,6)+1,1),IF('Calibración de turnos'!$B$23="T2",IF(MOD($A23-1,7)+1&lt;=5,IF(MOD(INT(($A23-1)/7)+'Calibración de turnos'!$D$23,2)=0,"M2","T2"),"L"),IF(MOD($A23-1,7)+1&lt;=5,IF('Calibración de turnos'!$E$23=13,"M3b","M3a"),"L")))</f>
        <v>M3b</v>
      </c>
      <c r="U23" s="63" t="str">
        <f aca="false">IF('Calibración de turnos'!$B$24="T1",MID("DDNNLL",MOD($A23-1+'Calibración de turnos'!$D$24,6)+1,1),IF('Calibración de turnos'!$B$24="T2",IF(MOD($A23-1,7)+1&lt;=5,IF(MOD(INT(($A23-1)/7)+'Calibración de turnos'!$D$24,2)=0,"M2","T2"),"L"),IF(MOD($A23-1,7)+1&lt;=5,IF('Calibración de turnos'!$E$24=13,"M3b","M3a"),"L")))</f>
        <v>M3a</v>
      </c>
      <c r="V23" s="63" t="str">
        <f aca="false">IF('Calibración de turnos'!$B$25="T1",MID("DDNNLL",MOD($A23-1+'Calibración de turnos'!$D$25,6)+1,1),IF('Calibración de turnos'!$B$25="T2",IF(MOD($A23-1,7)+1&lt;=5,IF(MOD(INT(($A23-1)/7)+'Calibración de turnos'!$D$25,2)=0,"M2","T2"),"L"),IF(MOD($A23-1,7)+1&lt;=5,IF('Calibración de turnos'!$E$25=13,"M3b","M3a"),"L")))</f>
        <v>M3b</v>
      </c>
    </row>
    <row r="24" customFormat="false" ht="15" hidden="false" customHeight="false" outlineLevel="0" collapsed="false">
      <c r="A24" s="18" t="n">
        <v>20</v>
      </c>
      <c r="B24" s="18" t="str">
        <f aca="false">CHOOSE(MOD(A24-1,7)+1,"lunes","martes","miércoles","jueves","viernes","sábado","domingo")</f>
        <v>sábado</v>
      </c>
      <c r="C24" s="63" t="str">
        <f aca="false">IF('Calibración de turnos'!$B$6="T1",MID("DDNNLL",MOD($A24-1+'Calibración de turnos'!$D$6,6)+1,1),IF('Calibración de turnos'!$B$6="T2",IF(MOD($A24-1,7)+1&lt;=5,IF(MOD(INT(($A24-1)/7)+'Calibración de turnos'!$D$6,2)=0,"M2","T2"),"L"),IF(MOD($A24-1,7)+1&lt;=5,IF('Calibración de turnos'!$E$6=13,"M3b","M3a"),"L")))</f>
        <v>D</v>
      </c>
      <c r="D24" s="63" t="str">
        <f aca="false">IF('Calibración de turnos'!$B$7="T1",MID("DDNNLL",MOD($A24-1+'Calibración de turnos'!$D$7,6)+1,1),IF('Calibración de turnos'!$B$7="T2",IF(MOD($A24-1,7)+1&lt;=5,IF(MOD(INT(($A24-1)/7)+'Calibración de turnos'!$D$7,2)=0,"M2","T2"),"L"),IF(MOD($A24-1,7)+1&lt;=5,IF('Calibración de turnos'!$E$7=13,"M3b","M3a"),"L")))</f>
        <v>N</v>
      </c>
      <c r="E24" s="63" t="str">
        <f aca="false">IF('Calibración de turnos'!$B$8="T1",MID("DDNNLL",MOD($A24-1+'Calibración de turnos'!$D$8,6)+1,1),IF('Calibración de turnos'!$B$8="T2",IF(MOD($A24-1,7)+1&lt;=5,IF(MOD(INT(($A24-1)/7)+'Calibración de turnos'!$D$8,2)=0,"M2","T2"),"L"),IF(MOD($A24-1,7)+1&lt;=5,IF('Calibración de turnos'!$E$8=13,"M3b","M3a"),"L")))</f>
        <v>D</v>
      </c>
      <c r="F24" s="63" t="str">
        <f aca="false">IF('Calibración de turnos'!$B$9="T1",MID("DDNNLL",MOD($A24-1+'Calibración de turnos'!$D$9,6)+1,1),IF('Calibración de turnos'!$B$9="T2",IF(MOD($A24-1,7)+1&lt;=5,IF(MOD(INT(($A24-1)/7)+'Calibración de turnos'!$D$9,2)=0,"M2","T2"),"L"),IF(MOD($A24-1,7)+1&lt;=5,IF('Calibración de turnos'!$E$9=13,"M3b","M3a"),"L")))</f>
        <v>N</v>
      </c>
      <c r="G24" s="63" t="str">
        <f aca="false">IF('Calibración de turnos'!$B$10="T1",MID("DDNNLL",MOD($A24-1+'Calibración de turnos'!$D$10,6)+1,1),IF('Calibración de turnos'!$B$10="T2",IF(MOD($A24-1,7)+1&lt;=5,IF(MOD(INT(($A24-1)/7)+'Calibración de turnos'!$D$10,2)=0,"M2","T2"),"L"),IF(MOD($A24-1,7)+1&lt;=5,IF('Calibración de turnos'!$E$10=13,"M3b","M3a"),"L")))</f>
        <v>L</v>
      </c>
      <c r="H24" s="63" t="str">
        <f aca="false">IF('Calibración de turnos'!$B$11="T1",MID("DDNNLL",MOD($A24-1+'Calibración de turnos'!$D$11,6)+1,1),IF('Calibración de turnos'!$B$11="T2",IF(MOD($A24-1,7)+1&lt;=5,IF(MOD(INT(($A24-1)/7)+'Calibración de turnos'!$D$11,2)=0,"M2","T2"),"L"),IF(MOD($A24-1,7)+1&lt;=5,IF('Calibración de turnos'!$E$11=13,"M3b","M3a"),"L")))</f>
        <v>L</v>
      </c>
      <c r="I24" s="63" t="str">
        <f aca="false">IF('Calibración de turnos'!$B$12="T1",MID("DDNNLL",MOD($A24-1+'Calibración de turnos'!$D$12,6)+1,1),IF('Calibración de turnos'!$B$12="T2",IF(MOD($A24-1,7)+1&lt;=5,IF(MOD(INT(($A24-1)/7)+'Calibración de turnos'!$D$12,2)=0,"M2","T2"),"L"),IF(MOD($A24-1,7)+1&lt;=5,IF('Calibración de turnos'!$E$12=13,"M3b","M3a"),"L")))</f>
        <v>L</v>
      </c>
      <c r="J24" s="63" t="str">
        <f aca="false">IF('Calibración de turnos'!$B$13="T1",MID("DDNNLL",MOD($A24-1+'Calibración de turnos'!$D$13,6)+1,1),IF('Calibración de turnos'!$B$13="T2",IF(MOD($A24-1,7)+1&lt;=5,IF(MOD(INT(($A24-1)/7)+'Calibración de turnos'!$D$13,2)=0,"M2","T2"),"L"),IF(MOD($A24-1,7)+1&lt;=5,IF('Calibración de turnos'!$E$13=13,"M3b","M3a"),"L")))</f>
        <v>L</v>
      </c>
      <c r="K24" s="63" t="str">
        <f aca="false">IF('Calibración de turnos'!$B$14="T1",MID("DDNNLL",MOD($A24-1+'Calibración de turnos'!$D$14,6)+1,1),IF('Calibración de turnos'!$B$14="T2",IF(MOD($A24-1,7)+1&lt;=5,IF(MOD(INT(($A24-1)/7)+'Calibración de turnos'!$D$14,2)=0,"M2","T2"),"L"),IF(MOD($A24-1,7)+1&lt;=5,IF('Calibración de turnos'!$E$14=13,"M3b","M3a"),"L")))</f>
        <v>L</v>
      </c>
      <c r="L24" s="63" t="str">
        <f aca="false">IF('Calibración de turnos'!$B$15="T1",MID("DDNNLL",MOD($A24-1+'Calibración de turnos'!$D$15,6)+1,1),IF('Calibración de turnos'!$B$15="T2",IF(MOD($A24-1,7)+1&lt;=5,IF(MOD(INT(($A24-1)/7)+'Calibración de turnos'!$D$15,2)=0,"M2","T2"),"L"),IF(MOD($A24-1,7)+1&lt;=5,IF('Calibración de turnos'!$E$15=13,"M3b","M3a"),"L")))</f>
        <v>L</v>
      </c>
      <c r="M24" s="63" t="str">
        <f aca="false">IF('Calibración de turnos'!$B$16="T1",MID("DDNNLL",MOD($A24-1+'Calibración de turnos'!$D$16,6)+1,1),IF('Calibración de turnos'!$B$16="T2",IF(MOD($A24-1,7)+1&lt;=5,IF(MOD(INT(($A24-1)/7)+'Calibración de turnos'!$D$16,2)=0,"M2","T2"),"L"),IF(MOD($A24-1,7)+1&lt;=5,IF('Calibración de turnos'!$E$16=13,"M3b","M3a"),"L")))</f>
        <v>L</v>
      </c>
      <c r="N24" s="63" t="str">
        <f aca="false">IF('Calibración de turnos'!$B$17="T1",MID("DDNNLL",MOD($A24-1+'Calibración de turnos'!$D$17,6)+1,1),IF('Calibración de turnos'!$B$17="T2",IF(MOD($A24-1,7)+1&lt;=5,IF(MOD(INT(($A24-1)/7)+'Calibración de turnos'!$D$17,2)=0,"M2","T2"),"L"),IF(MOD($A24-1,7)+1&lt;=5,IF('Calibración de turnos'!$E$17=13,"M3b","M3a"),"L")))</f>
        <v>L</v>
      </c>
      <c r="O24" s="63" t="str">
        <f aca="false">IF('Calibración de turnos'!$B$18="T1",MID("DDNNLL",MOD($A24-1+'Calibración de turnos'!$D$18,6)+1,1),IF('Calibración de turnos'!$B$18="T2",IF(MOD($A24-1,7)+1&lt;=5,IF(MOD(INT(($A24-1)/7)+'Calibración de turnos'!$D$18,2)=0,"M2","T2"),"L"),IF(MOD($A24-1,7)+1&lt;=5,IF('Calibración de turnos'!$E$18=13,"M3b","M3a"),"L")))</f>
        <v>L</v>
      </c>
      <c r="P24" s="63" t="str">
        <f aca="false">IF('Calibración de turnos'!$B$19="T1",MID("DDNNLL",MOD($A24-1+'Calibración de turnos'!$D$19,6)+1,1),IF('Calibración de turnos'!$B$19="T2",IF(MOD($A24-1,7)+1&lt;=5,IF(MOD(INT(($A24-1)/7)+'Calibración de turnos'!$D$19,2)=0,"M2","T2"),"L"),IF(MOD($A24-1,7)+1&lt;=5,IF('Calibración de turnos'!$E$19=13,"M3b","M3a"),"L")))</f>
        <v>L</v>
      </c>
      <c r="Q24" s="63" t="str">
        <f aca="false">IF('Calibración de turnos'!$B$20="T1",MID("DDNNLL",MOD($A24-1+'Calibración de turnos'!$D$20,6)+1,1),IF('Calibración de turnos'!$B$20="T2",IF(MOD($A24-1,7)+1&lt;=5,IF(MOD(INT(($A24-1)/7)+'Calibración de turnos'!$D$20,2)=0,"M2","T2"),"L"),IF(MOD($A24-1,7)+1&lt;=5,IF('Calibración de turnos'!$E$20=13,"M3b","M3a"),"L")))</f>
        <v>L</v>
      </c>
      <c r="R24" s="63" t="str">
        <f aca="false">IF('Calibración de turnos'!$B$21="T1",MID("DDNNLL",MOD($A24-1+'Calibración de turnos'!$D$21,6)+1,1),IF('Calibración de turnos'!$B$21="T2",IF(MOD($A24-1,7)+1&lt;=5,IF(MOD(INT(($A24-1)/7)+'Calibración de turnos'!$D$21,2)=0,"M2","T2"),"L"),IF(MOD($A24-1,7)+1&lt;=5,IF('Calibración de turnos'!$E$21=13,"M3b","M3a"),"L")))</f>
        <v>L</v>
      </c>
      <c r="S24" s="63" t="str">
        <f aca="false">IF('Calibración de turnos'!$B$22="T1",MID("DDNNLL",MOD($A24-1+'Calibración de turnos'!$D$22,6)+1,1),IF('Calibración de turnos'!$B$22="T2",IF(MOD($A24-1,7)+1&lt;=5,IF(MOD(INT(($A24-1)/7)+'Calibración de turnos'!$D$22,2)=0,"M2","T2"),"L"),IF(MOD($A24-1,7)+1&lt;=5,IF('Calibración de turnos'!$E$22=13,"M3b","M3a"),"L")))</f>
        <v>L</v>
      </c>
      <c r="T24" s="63" t="str">
        <f aca="false">IF('Calibración de turnos'!$B$23="T1",MID("DDNNLL",MOD($A24-1+'Calibración de turnos'!$D$23,6)+1,1),IF('Calibración de turnos'!$B$23="T2",IF(MOD($A24-1,7)+1&lt;=5,IF(MOD(INT(($A24-1)/7)+'Calibración de turnos'!$D$23,2)=0,"M2","T2"),"L"),IF(MOD($A24-1,7)+1&lt;=5,IF('Calibración de turnos'!$E$23=13,"M3b","M3a"),"L")))</f>
        <v>L</v>
      </c>
      <c r="U24" s="63" t="str">
        <f aca="false">IF('Calibración de turnos'!$B$24="T1",MID("DDNNLL",MOD($A24-1+'Calibración de turnos'!$D$24,6)+1,1),IF('Calibración de turnos'!$B$24="T2",IF(MOD($A24-1,7)+1&lt;=5,IF(MOD(INT(($A24-1)/7)+'Calibración de turnos'!$D$24,2)=0,"M2","T2"),"L"),IF(MOD($A24-1,7)+1&lt;=5,IF('Calibración de turnos'!$E$24=13,"M3b","M3a"),"L")))</f>
        <v>L</v>
      </c>
      <c r="V24" s="63" t="str">
        <f aca="false">IF('Calibración de turnos'!$B$25="T1",MID("DDNNLL",MOD($A24-1+'Calibración de turnos'!$D$25,6)+1,1),IF('Calibración de turnos'!$B$25="T2",IF(MOD($A24-1,7)+1&lt;=5,IF(MOD(INT(($A24-1)/7)+'Calibración de turnos'!$D$25,2)=0,"M2","T2"),"L"),IF(MOD($A24-1,7)+1&lt;=5,IF('Calibración de turnos'!$E$25=13,"M3b","M3a"),"L")))</f>
        <v>L</v>
      </c>
    </row>
    <row r="25" customFormat="false" ht="15" hidden="false" customHeight="false" outlineLevel="0" collapsed="false">
      <c r="A25" s="18" t="n">
        <v>21</v>
      </c>
      <c r="B25" s="18" t="str">
        <f aca="false">CHOOSE(MOD(A25-1,7)+1,"lunes","martes","miércoles","jueves","viernes","sábado","domingo")</f>
        <v>domingo</v>
      </c>
      <c r="C25" s="63" t="str">
        <f aca="false">IF('Calibración de turnos'!$B$6="T1",MID("DDNNLL",MOD($A25-1+'Calibración de turnos'!$D$6,6)+1,1),IF('Calibración de turnos'!$B$6="T2",IF(MOD($A25-1,7)+1&lt;=5,IF(MOD(INT(($A25-1)/7)+'Calibración de turnos'!$D$6,2)=0,"M2","T2"),"L"),IF(MOD($A25-1,7)+1&lt;=5,IF('Calibración de turnos'!$E$6=13,"M3b","M3a"),"L")))</f>
        <v>N</v>
      </c>
      <c r="D25" s="63" t="str">
        <f aca="false">IF('Calibración de turnos'!$B$7="T1",MID("DDNNLL",MOD($A25-1+'Calibración de turnos'!$D$7,6)+1,1),IF('Calibración de turnos'!$B$7="T2",IF(MOD($A25-1,7)+1&lt;=5,IF(MOD(INT(($A25-1)/7)+'Calibración de turnos'!$D$7,2)=0,"M2","T2"),"L"),IF(MOD($A25-1,7)+1&lt;=5,IF('Calibración de turnos'!$E$7=13,"M3b","M3a"),"L")))</f>
        <v>L</v>
      </c>
      <c r="E25" s="63" t="str">
        <f aca="false">IF('Calibración de turnos'!$B$8="T1",MID("DDNNLL",MOD($A25-1+'Calibración de turnos'!$D$8,6)+1,1),IF('Calibración de turnos'!$B$8="T2",IF(MOD($A25-1,7)+1&lt;=5,IF(MOD(INT(($A25-1)/7)+'Calibración de turnos'!$D$8,2)=0,"M2","T2"),"L"),IF(MOD($A25-1,7)+1&lt;=5,IF('Calibración de turnos'!$E$8=13,"M3b","M3a"),"L")))</f>
        <v>N</v>
      </c>
      <c r="F25" s="63" t="str">
        <f aca="false">IF('Calibración de turnos'!$B$9="T1",MID("DDNNLL",MOD($A25-1+'Calibración de turnos'!$D$9,6)+1,1),IF('Calibración de turnos'!$B$9="T2",IF(MOD($A25-1,7)+1&lt;=5,IF(MOD(INT(($A25-1)/7)+'Calibración de turnos'!$D$9,2)=0,"M2","T2"),"L"),IF(MOD($A25-1,7)+1&lt;=5,IF('Calibración de turnos'!$E$9=13,"M3b","M3a"),"L")))</f>
        <v>L</v>
      </c>
      <c r="G25" s="63" t="str">
        <f aca="false">IF('Calibración de turnos'!$B$10="T1",MID("DDNNLL",MOD($A25-1+'Calibración de turnos'!$D$10,6)+1,1),IF('Calibración de turnos'!$B$10="T2",IF(MOD($A25-1,7)+1&lt;=5,IF(MOD(INT(($A25-1)/7)+'Calibración de turnos'!$D$10,2)=0,"M2","T2"),"L"),IF(MOD($A25-1,7)+1&lt;=5,IF('Calibración de turnos'!$E$10=13,"M3b","M3a"),"L")))</f>
        <v>D</v>
      </c>
      <c r="H25" s="63" t="str">
        <f aca="false">IF('Calibración de turnos'!$B$11="T1",MID("DDNNLL",MOD($A25-1+'Calibración de turnos'!$D$11,6)+1,1),IF('Calibración de turnos'!$B$11="T2",IF(MOD($A25-1,7)+1&lt;=5,IF(MOD(INT(($A25-1)/7)+'Calibración de turnos'!$D$11,2)=0,"M2","T2"),"L"),IF(MOD($A25-1,7)+1&lt;=5,IF('Calibración de turnos'!$E$11=13,"M3b","M3a"),"L")))</f>
        <v>D</v>
      </c>
      <c r="I25" s="63" t="str">
        <f aca="false">IF('Calibración de turnos'!$B$12="T1",MID("DDNNLL",MOD($A25-1+'Calibración de turnos'!$D$12,6)+1,1),IF('Calibración de turnos'!$B$12="T2",IF(MOD($A25-1,7)+1&lt;=5,IF(MOD(INT(($A25-1)/7)+'Calibración de turnos'!$D$12,2)=0,"M2","T2"),"L"),IF(MOD($A25-1,7)+1&lt;=5,IF('Calibración de turnos'!$E$12=13,"M3b","M3a"),"L")))</f>
        <v>L</v>
      </c>
      <c r="J25" s="63" t="str">
        <f aca="false">IF('Calibración de turnos'!$B$13="T1",MID("DDNNLL",MOD($A25-1+'Calibración de turnos'!$D$13,6)+1,1),IF('Calibración de turnos'!$B$13="T2",IF(MOD($A25-1,7)+1&lt;=5,IF(MOD(INT(($A25-1)/7)+'Calibración de turnos'!$D$13,2)=0,"M2","T2"),"L"),IF(MOD($A25-1,7)+1&lt;=5,IF('Calibración de turnos'!$E$13=13,"M3b","M3a"),"L")))</f>
        <v>L</v>
      </c>
      <c r="K25" s="63" t="str">
        <f aca="false">IF('Calibración de turnos'!$B$14="T1",MID("DDNNLL",MOD($A25-1+'Calibración de turnos'!$D$14,6)+1,1),IF('Calibración de turnos'!$B$14="T2",IF(MOD($A25-1,7)+1&lt;=5,IF(MOD(INT(($A25-1)/7)+'Calibración de turnos'!$D$14,2)=0,"M2","T2"),"L"),IF(MOD($A25-1,7)+1&lt;=5,IF('Calibración de turnos'!$E$14=13,"M3b","M3a"),"L")))</f>
        <v>L</v>
      </c>
      <c r="L25" s="63" t="str">
        <f aca="false">IF('Calibración de turnos'!$B$15="T1",MID("DDNNLL",MOD($A25-1+'Calibración de turnos'!$D$15,6)+1,1),IF('Calibración de turnos'!$B$15="T2",IF(MOD($A25-1,7)+1&lt;=5,IF(MOD(INT(($A25-1)/7)+'Calibración de turnos'!$D$15,2)=0,"M2","T2"),"L"),IF(MOD($A25-1,7)+1&lt;=5,IF('Calibración de turnos'!$E$15=13,"M3b","M3a"),"L")))</f>
        <v>L</v>
      </c>
      <c r="M25" s="63" t="str">
        <f aca="false">IF('Calibración de turnos'!$B$16="T1",MID("DDNNLL",MOD($A25-1+'Calibración de turnos'!$D$16,6)+1,1),IF('Calibración de turnos'!$B$16="T2",IF(MOD($A25-1,7)+1&lt;=5,IF(MOD(INT(($A25-1)/7)+'Calibración de turnos'!$D$16,2)=0,"M2","T2"),"L"),IF(MOD($A25-1,7)+1&lt;=5,IF('Calibración de turnos'!$E$16=13,"M3b","M3a"),"L")))</f>
        <v>L</v>
      </c>
      <c r="N25" s="63" t="str">
        <f aca="false">IF('Calibración de turnos'!$B$17="T1",MID("DDNNLL",MOD($A25-1+'Calibración de turnos'!$D$17,6)+1,1),IF('Calibración de turnos'!$B$17="T2",IF(MOD($A25-1,7)+1&lt;=5,IF(MOD(INT(($A25-1)/7)+'Calibración de turnos'!$D$17,2)=0,"M2","T2"),"L"),IF(MOD($A25-1,7)+1&lt;=5,IF('Calibración de turnos'!$E$17=13,"M3b","M3a"),"L")))</f>
        <v>L</v>
      </c>
      <c r="O25" s="63" t="str">
        <f aca="false">IF('Calibración de turnos'!$B$18="T1",MID("DDNNLL",MOD($A25-1+'Calibración de turnos'!$D$18,6)+1,1),IF('Calibración de turnos'!$B$18="T2",IF(MOD($A25-1,7)+1&lt;=5,IF(MOD(INT(($A25-1)/7)+'Calibración de turnos'!$D$18,2)=0,"M2","T2"),"L"),IF(MOD($A25-1,7)+1&lt;=5,IF('Calibración de turnos'!$E$18=13,"M3b","M3a"),"L")))</f>
        <v>L</v>
      </c>
      <c r="P25" s="63" t="str">
        <f aca="false">IF('Calibración de turnos'!$B$19="T1",MID("DDNNLL",MOD($A25-1+'Calibración de turnos'!$D$19,6)+1,1),IF('Calibración de turnos'!$B$19="T2",IF(MOD($A25-1,7)+1&lt;=5,IF(MOD(INT(($A25-1)/7)+'Calibración de turnos'!$D$19,2)=0,"M2","T2"),"L"),IF(MOD($A25-1,7)+1&lt;=5,IF('Calibración de turnos'!$E$19=13,"M3b","M3a"),"L")))</f>
        <v>L</v>
      </c>
      <c r="Q25" s="63" t="str">
        <f aca="false">IF('Calibración de turnos'!$B$20="T1",MID("DDNNLL",MOD($A25-1+'Calibración de turnos'!$D$20,6)+1,1),IF('Calibración de turnos'!$B$20="T2",IF(MOD($A25-1,7)+1&lt;=5,IF(MOD(INT(($A25-1)/7)+'Calibración de turnos'!$D$20,2)=0,"M2","T2"),"L"),IF(MOD($A25-1,7)+1&lt;=5,IF('Calibración de turnos'!$E$20=13,"M3b","M3a"),"L")))</f>
        <v>L</v>
      </c>
      <c r="R25" s="63" t="str">
        <f aca="false">IF('Calibración de turnos'!$B$21="T1",MID("DDNNLL",MOD($A25-1+'Calibración de turnos'!$D$21,6)+1,1),IF('Calibración de turnos'!$B$21="T2",IF(MOD($A25-1,7)+1&lt;=5,IF(MOD(INT(($A25-1)/7)+'Calibración de turnos'!$D$21,2)=0,"M2","T2"),"L"),IF(MOD($A25-1,7)+1&lt;=5,IF('Calibración de turnos'!$E$21=13,"M3b","M3a"),"L")))</f>
        <v>L</v>
      </c>
      <c r="S25" s="63" t="str">
        <f aca="false">IF('Calibración de turnos'!$B$22="T1",MID("DDNNLL",MOD($A25-1+'Calibración de turnos'!$D$22,6)+1,1),IF('Calibración de turnos'!$B$22="T2",IF(MOD($A25-1,7)+1&lt;=5,IF(MOD(INT(($A25-1)/7)+'Calibración de turnos'!$D$22,2)=0,"M2","T2"),"L"),IF(MOD($A25-1,7)+1&lt;=5,IF('Calibración de turnos'!$E$22=13,"M3b","M3a"),"L")))</f>
        <v>L</v>
      </c>
      <c r="T25" s="63" t="str">
        <f aca="false">IF('Calibración de turnos'!$B$23="T1",MID("DDNNLL",MOD($A25-1+'Calibración de turnos'!$D$23,6)+1,1),IF('Calibración de turnos'!$B$23="T2",IF(MOD($A25-1,7)+1&lt;=5,IF(MOD(INT(($A25-1)/7)+'Calibración de turnos'!$D$23,2)=0,"M2","T2"),"L"),IF(MOD($A25-1,7)+1&lt;=5,IF('Calibración de turnos'!$E$23=13,"M3b","M3a"),"L")))</f>
        <v>L</v>
      </c>
      <c r="U25" s="63" t="str">
        <f aca="false">IF('Calibración de turnos'!$B$24="T1",MID("DDNNLL",MOD($A25-1+'Calibración de turnos'!$D$24,6)+1,1),IF('Calibración de turnos'!$B$24="T2",IF(MOD($A25-1,7)+1&lt;=5,IF(MOD(INT(($A25-1)/7)+'Calibración de turnos'!$D$24,2)=0,"M2","T2"),"L"),IF(MOD($A25-1,7)+1&lt;=5,IF('Calibración de turnos'!$E$24=13,"M3b","M3a"),"L")))</f>
        <v>L</v>
      </c>
      <c r="V25" s="63" t="str">
        <f aca="false">IF('Calibración de turnos'!$B$25="T1",MID("DDNNLL",MOD($A25-1+'Calibración de turnos'!$D$25,6)+1,1),IF('Calibración de turnos'!$B$25="T2",IF(MOD($A25-1,7)+1&lt;=5,IF(MOD(INT(($A25-1)/7)+'Calibración de turnos'!$D$25,2)=0,"M2","T2"),"L"),IF(MOD($A25-1,7)+1&lt;=5,IF('Calibración de turnos'!$E$25=13,"M3b","M3a"),"L")))</f>
        <v>L</v>
      </c>
    </row>
    <row r="26" customFormat="false" ht="15" hidden="false" customHeight="false" outlineLevel="0" collapsed="false">
      <c r="A26" s="18" t="n">
        <v>22</v>
      </c>
      <c r="B26" s="18" t="str">
        <f aca="false">CHOOSE(MOD(A26-1,7)+1,"lunes","martes","miércoles","jueves","viernes","sábado","domingo")</f>
        <v>lunes</v>
      </c>
      <c r="C26" s="63" t="str">
        <f aca="false">IF('Calibración de turnos'!$B$6="T1",MID("DDNNLL",MOD($A26-1+'Calibración de turnos'!$D$6,6)+1,1),IF('Calibración de turnos'!$B$6="T2",IF(MOD($A26-1,7)+1&lt;=5,IF(MOD(INT(($A26-1)/7)+'Calibración de turnos'!$D$6,2)=0,"M2","T2"),"L"),IF(MOD($A26-1,7)+1&lt;=5,IF('Calibración de turnos'!$E$6=13,"M3b","M3a"),"L")))</f>
        <v>N</v>
      </c>
      <c r="D26" s="63" t="str">
        <f aca="false">IF('Calibración de turnos'!$B$7="T1",MID("DDNNLL",MOD($A26-1+'Calibración de turnos'!$D$7,6)+1,1),IF('Calibración de turnos'!$B$7="T2",IF(MOD($A26-1,7)+1&lt;=5,IF(MOD(INT(($A26-1)/7)+'Calibración de turnos'!$D$7,2)=0,"M2","T2"),"L"),IF(MOD($A26-1,7)+1&lt;=5,IF('Calibración de turnos'!$E$7=13,"M3b","M3a"),"L")))</f>
        <v>L</v>
      </c>
      <c r="E26" s="63" t="str">
        <f aca="false">IF('Calibración de turnos'!$B$8="T1",MID("DDNNLL",MOD($A26-1+'Calibración de turnos'!$D$8,6)+1,1),IF('Calibración de turnos'!$B$8="T2",IF(MOD($A26-1,7)+1&lt;=5,IF(MOD(INT(($A26-1)/7)+'Calibración de turnos'!$D$8,2)=0,"M2","T2"),"L"),IF(MOD($A26-1,7)+1&lt;=5,IF('Calibración de turnos'!$E$8=13,"M3b","M3a"),"L")))</f>
        <v>N</v>
      </c>
      <c r="F26" s="63" t="str">
        <f aca="false">IF('Calibración de turnos'!$B$9="T1",MID("DDNNLL",MOD($A26-1+'Calibración de turnos'!$D$9,6)+1,1),IF('Calibración de turnos'!$B$9="T2",IF(MOD($A26-1,7)+1&lt;=5,IF(MOD(INT(($A26-1)/7)+'Calibración de turnos'!$D$9,2)=0,"M2","T2"),"L"),IF(MOD($A26-1,7)+1&lt;=5,IF('Calibración de turnos'!$E$9=13,"M3b","M3a"),"L")))</f>
        <v>L</v>
      </c>
      <c r="G26" s="63" t="str">
        <f aca="false">IF('Calibración de turnos'!$B$10="T1",MID("DDNNLL",MOD($A26-1+'Calibración de turnos'!$D$10,6)+1,1),IF('Calibración de turnos'!$B$10="T2",IF(MOD($A26-1,7)+1&lt;=5,IF(MOD(INT(($A26-1)/7)+'Calibración de turnos'!$D$10,2)=0,"M2","T2"),"L"),IF(MOD($A26-1,7)+1&lt;=5,IF('Calibración de turnos'!$E$10=13,"M3b","M3a"),"L")))</f>
        <v>D</v>
      </c>
      <c r="H26" s="63" t="str">
        <f aca="false">IF('Calibración de turnos'!$B$11="T1",MID("DDNNLL",MOD($A26-1+'Calibración de turnos'!$D$11,6)+1,1),IF('Calibración de turnos'!$B$11="T2",IF(MOD($A26-1,7)+1&lt;=5,IF(MOD(INT(($A26-1)/7)+'Calibración de turnos'!$D$11,2)=0,"M2","T2"),"L"),IF(MOD($A26-1,7)+1&lt;=5,IF('Calibración de turnos'!$E$11=13,"M3b","M3a"),"L")))</f>
        <v>D</v>
      </c>
      <c r="I26" s="63" t="str">
        <f aca="false">IF('Calibración de turnos'!$B$12="T1",MID("DDNNLL",MOD($A26-1+'Calibración de turnos'!$D$12,6)+1,1),IF('Calibración de turnos'!$B$12="T2",IF(MOD($A26-1,7)+1&lt;=5,IF(MOD(INT(($A26-1)/7)+'Calibración de turnos'!$D$12,2)=0,"M2","T2"),"L"),IF(MOD($A26-1,7)+1&lt;=5,IF('Calibración de turnos'!$E$12=13,"M3b","M3a"),"L")))</f>
        <v>T2</v>
      </c>
      <c r="J26" s="63" t="str">
        <f aca="false">IF('Calibración de turnos'!$B$13="T1",MID("DDNNLL",MOD($A26-1+'Calibración de turnos'!$D$13,6)+1,1),IF('Calibración de turnos'!$B$13="T2",IF(MOD($A26-1,7)+1&lt;=5,IF(MOD(INT(($A26-1)/7)+'Calibración de turnos'!$D$13,2)=0,"M2","T2"),"L"),IF(MOD($A26-1,7)+1&lt;=5,IF('Calibración de turnos'!$E$13=13,"M3b","M3a"),"L")))</f>
        <v>M2</v>
      </c>
      <c r="K26" s="63" t="str">
        <f aca="false">IF('Calibración de turnos'!$B$14="T1",MID("DDNNLL",MOD($A26-1+'Calibración de turnos'!$D$14,6)+1,1),IF('Calibración de turnos'!$B$14="T2",IF(MOD($A26-1,7)+1&lt;=5,IF(MOD(INT(($A26-1)/7)+'Calibración de turnos'!$D$14,2)=0,"M2","T2"),"L"),IF(MOD($A26-1,7)+1&lt;=5,IF('Calibración de turnos'!$E$14=13,"M3b","M3a"),"L")))</f>
        <v>T2</v>
      </c>
      <c r="L26" s="63" t="str">
        <f aca="false">IF('Calibración de turnos'!$B$15="T1",MID("DDNNLL",MOD($A26-1+'Calibración de turnos'!$D$15,6)+1,1),IF('Calibración de turnos'!$B$15="T2",IF(MOD($A26-1,7)+1&lt;=5,IF(MOD(INT(($A26-1)/7)+'Calibración de turnos'!$D$15,2)=0,"M2","T2"),"L"),IF(MOD($A26-1,7)+1&lt;=5,IF('Calibración de turnos'!$E$15=13,"M3b","M3a"),"L")))</f>
        <v>M2</v>
      </c>
      <c r="M26" s="63" t="str">
        <f aca="false">IF('Calibración de turnos'!$B$16="T1",MID("DDNNLL",MOD($A26-1+'Calibración de turnos'!$D$16,6)+1,1),IF('Calibración de turnos'!$B$16="T2",IF(MOD($A26-1,7)+1&lt;=5,IF(MOD(INT(($A26-1)/7)+'Calibración de turnos'!$D$16,2)=0,"M2","T2"),"L"),IF(MOD($A26-1,7)+1&lt;=5,IF('Calibración de turnos'!$E$16=13,"M3b","M3a"),"L")))</f>
        <v>M3a</v>
      </c>
      <c r="N26" s="63" t="str">
        <f aca="false">IF('Calibración de turnos'!$B$17="T1",MID("DDNNLL",MOD($A26-1+'Calibración de turnos'!$D$17,6)+1,1),IF('Calibración de turnos'!$B$17="T2",IF(MOD($A26-1,7)+1&lt;=5,IF(MOD(INT(($A26-1)/7)+'Calibración de turnos'!$D$17,2)=0,"M2","T2"),"L"),IF(MOD($A26-1,7)+1&lt;=5,IF('Calibración de turnos'!$E$17=13,"M3b","M3a"),"L")))</f>
        <v>M3a</v>
      </c>
      <c r="O26" s="63" t="str">
        <f aca="false">IF('Calibración de turnos'!$B$18="T1",MID("DDNNLL",MOD($A26-1+'Calibración de turnos'!$D$18,6)+1,1),IF('Calibración de turnos'!$B$18="T2",IF(MOD($A26-1,7)+1&lt;=5,IF(MOD(INT(($A26-1)/7)+'Calibración de turnos'!$D$18,2)=0,"M2","T2"),"L"),IF(MOD($A26-1,7)+1&lt;=5,IF('Calibración de turnos'!$E$18=13,"M3b","M3a"),"L")))</f>
        <v>M3b</v>
      </c>
      <c r="P26" s="63" t="str">
        <f aca="false">IF('Calibración de turnos'!$B$19="T1",MID("DDNNLL",MOD($A26-1+'Calibración de turnos'!$D$19,6)+1,1),IF('Calibración de turnos'!$B$19="T2",IF(MOD($A26-1,7)+1&lt;=5,IF(MOD(INT(($A26-1)/7)+'Calibración de turnos'!$D$19,2)=0,"M2","T2"),"L"),IF(MOD($A26-1,7)+1&lt;=5,IF('Calibración de turnos'!$E$19=13,"M3b","M3a"),"L")))</f>
        <v>M3a</v>
      </c>
      <c r="Q26" s="63" t="str">
        <f aca="false">IF('Calibración de turnos'!$B$20="T1",MID("DDNNLL",MOD($A26-1+'Calibración de turnos'!$D$20,6)+1,1),IF('Calibración de turnos'!$B$20="T2",IF(MOD($A26-1,7)+1&lt;=5,IF(MOD(INT(($A26-1)/7)+'Calibración de turnos'!$D$20,2)=0,"M2","T2"),"L"),IF(MOD($A26-1,7)+1&lt;=5,IF('Calibración de turnos'!$E$20=13,"M3b","M3a"),"L")))</f>
        <v>M3b</v>
      </c>
      <c r="R26" s="63" t="str">
        <f aca="false">IF('Calibración de turnos'!$B$21="T1",MID("DDNNLL",MOD($A26-1+'Calibración de turnos'!$D$21,6)+1,1),IF('Calibración de turnos'!$B$21="T2",IF(MOD($A26-1,7)+1&lt;=5,IF(MOD(INT(($A26-1)/7)+'Calibración de turnos'!$D$21,2)=0,"M2","T2"),"L"),IF(MOD($A26-1,7)+1&lt;=5,IF('Calibración de turnos'!$E$21=13,"M3b","M3a"),"L")))</f>
        <v>M3b</v>
      </c>
      <c r="S26" s="63" t="str">
        <f aca="false">IF('Calibración de turnos'!$B$22="T1",MID("DDNNLL",MOD($A26-1+'Calibración de turnos'!$D$22,6)+1,1),IF('Calibración de turnos'!$B$22="T2",IF(MOD($A26-1,7)+1&lt;=5,IF(MOD(INT(($A26-1)/7)+'Calibración de turnos'!$D$22,2)=0,"M2","T2"),"L"),IF(MOD($A26-1,7)+1&lt;=5,IF('Calibración de turnos'!$E$22=13,"M3b","M3a"),"L")))</f>
        <v>M3a</v>
      </c>
      <c r="T26" s="63" t="str">
        <f aca="false">IF('Calibración de turnos'!$B$23="T1",MID("DDNNLL",MOD($A26-1+'Calibración de turnos'!$D$23,6)+1,1),IF('Calibración de turnos'!$B$23="T2",IF(MOD($A26-1,7)+1&lt;=5,IF(MOD(INT(($A26-1)/7)+'Calibración de turnos'!$D$23,2)=0,"M2","T2"),"L"),IF(MOD($A26-1,7)+1&lt;=5,IF('Calibración de turnos'!$E$23=13,"M3b","M3a"),"L")))</f>
        <v>M3b</v>
      </c>
      <c r="U26" s="63" t="str">
        <f aca="false">IF('Calibración de turnos'!$B$24="T1",MID("DDNNLL",MOD($A26-1+'Calibración de turnos'!$D$24,6)+1,1),IF('Calibración de turnos'!$B$24="T2",IF(MOD($A26-1,7)+1&lt;=5,IF(MOD(INT(($A26-1)/7)+'Calibración de turnos'!$D$24,2)=0,"M2","T2"),"L"),IF(MOD($A26-1,7)+1&lt;=5,IF('Calibración de turnos'!$E$24=13,"M3b","M3a"),"L")))</f>
        <v>M3a</v>
      </c>
      <c r="V26" s="63" t="str">
        <f aca="false">IF('Calibración de turnos'!$B$25="T1",MID("DDNNLL",MOD($A26-1+'Calibración de turnos'!$D$25,6)+1,1),IF('Calibración de turnos'!$B$25="T2",IF(MOD($A26-1,7)+1&lt;=5,IF(MOD(INT(($A26-1)/7)+'Calibración de turnos'!$D$25,2)=0,"M2","T2"),"L"),IF(MOD($A26-1,7)+1&lt;=5,IF('Calibración de turnos'!$E$25=13,"M3b","M3a"),"L")))</f>
        <v>M3b</v>
      </c>
    </row>
    <row r="27" customFormat="false" ht="15" hidden="false" customHeight="false" outlineLevel="0" collapsed="false">
      <c r="A27" s="18" t="n">
        <v>23</v>
      </c>
      <c r="B27" s="18" t="str">
        <f aca="false">CHOOSE(MOD(A27-1,7)+1,"lunes","martes","miércoles","jueves","viernes","sábado","domingo")</f>
        <v>martes</v>
      </c>
      <c r="C27" s="63" t="str">
        <f aca="false">IF('Calibración de turnos'!$B$6="T1",MID("DDNNLL",MOD($A27-1+'Calibración de turnos'!$D$6,6)+1,1),IF('Calibración de turnos'!$B$6="T2",IF(MOD($A27-1,7)+1&lt;=5,IF(MOD(INT(($A27-1)/7)+'Calibración de turnos'!$D$6,2)=0,"M2","T2"),"L"),IF(MOD($A27-1,7)+1&lt;=5,IF('Calibración de turnos'!$E$6=13,"M3b","M3a"),"L")))</f>
        <v>L</v>
      </c>
      <c r="D27" s="63" t="str">
        <f aca="false">IF('Calibración de turnos'!$B$7="T1",MID("DDNNLL",MOD($A27-1+'Calibración de turnos'!$D$7,6)+1,1),IF('Calibración de turnos'!$B$7="T2",IF(MOD($A27-1,7)+1&lt;=5,IF(MOD(INT(($A27-1)/7)+'Calibración de turnos'!$D$7,2)=0,"M2","T2"),"L"),IF(MOD($A27-1,7)+1&lt;=5,IF('Calibración de turnos'!$E$7=13,"M3b","M3a"),"L")))</f>
        <v>D</v>
      </c>
      <c r="E27" s="63" t="str">
        <f aca="false">IF('Calibración de turnos'!$B$8="T1",MID("DDNNLL",MOD($A27-1+'Calibración de turnos'!$D$8,6)+1,1),IF('Calibración de turnos'!$B$8="T2",IF(MOD($A27-1,7)+1&lt;=5,IF(MOD(INT(($A27-1)/7)+'Calibración de turnos'!$D$8,2)=0,"M2","T2"),"L"),IF(MOD($A27-1,7)+1&lt;=5,IF('Calibración de turnos'!$E$8=13,"M3b","M3a"),"L")))</f>
        <v>L</v>
      </c>
      <c r="F27" s="63" t="str">
        <f aca="false">IF('Calibración de turnos'!$B$9="T1",MID("DDNNLL",MOD($A27-1+'Calibración de turnos'!$D$9,6)+1,1),IF('Calibración de turnos'!$B$9="T2",IF(MOD($A27-1,7)+1&lt;=5,IF(MOD(INT(($A27-1)/7)+'Calibración de turnos'!$D$9,2)=0,"M2","T2"),"L"),IF(MOD($A27-1,7)+1&lt;=5,IF('Calibración de turnos'!$E$9=13,"M3b","M3a"),"L")))</f>
        <v>D</v>
      </c>
      <c r="G27" s="63" t="str">
        <f aca="false">IF('Calibración de turnos'!$B$10="T1",MID("DDNNLL",MOD($A27-1+'Calibración de turnos'!$D$10,6)+1,1),IF('Calibración de turnos'!$B$10="T2",IF(MOD($A27-1,7)+1&lt;=5,IF(MOD(INT(($A27-1)/7)+'Calibración de turnos'!$D$10,2)=0,"M2","T2"),"L"),IF(MOD($A27-1,7)+1&lt;=5,IF('Calibración de turnos'!$E$10=13,"M3b","M3a"),"L")))</f>
        <v>N</v>
      </c>
      <c r="H27" s="63" t="str">
        <f aca="false">IF('Calibración de turnos'!$B$11="T1",MID("DDNNLL",MOD($A27-1+'Calibración de turnos'!$D$11,6)+1,1),IF('Calibración de turnos'!$B$11="T2",IF(MOD($A27-1,7)+1&lt;=5,IF(MOD(INT(($A27-1)/7)+'Calibración de turnos'!$D$11,2)=0,"M2","T2"),"L"),IF(MOD($A27-1,7)+1&lt;=5,IF('Calibración de turnos'!$E$11=13,"M3b","M3a"),"L")))</f>
        <v>N</v>
      </c>
      <c r="I27" s="63" t="str">
        <f aca="false">IF('Calibración de turnos'!$B$12="T1",MID("DDNNLL",MOD($A27-1+'Calibración de turnos'!$D$12,6)+1,1),IF('Calibración de turnos'!$B$12="T2",IF(MOD($A27-1,7)+1&lt;=5,IF(MOD(INT(($A27-1)/7)+'Calibración de turnos'!$D$12,2)=0,"M2","T2"),"L"),IF(MOD($A27-1,7)+1&lt;=5,IF('Calibración de turnos'!$E$12=13,"M3b","M3a"),"L")))</f>
        <v>T2</v>
      </c>
      <c r="J27" s="63" t="str">
        <f aca="false">IF('Calibración de turnos'!$B$13="T1",MID("DDNNLL",MOD($A27-1+'Calibración de turnos'!$D$13,6)+1,1),IF('Calibración de turnos'!$B$13="T2",IF(MOD($A27-1,7)+1&lt;=5,IF(MOD(INT(($A27-1)/7)+'Calibración de turnos'!$D$13,2)=0,"M2","T2"),"L"),IF(MOD($A27-1,7)+1&lt;=5,IF('Calibración de turnos'!$E$13=13,"M3b","M3a"),"L")))</f>
        <v>M2</v>
      </c>
      <c r="K27" s="63" t="str">
        <f aca="false">IF('Calibración de turnos'!$B$14="T1",MID("DDNNLL",MOD($A27-1+'Calibración de turnos'!$D$14,6)+1,1),IF('Calibración de turnos'!$B$14="T2",IF(MOD($A27-1,7)+1&lt;=5,IF(MOD(INT(($A27-1)/7)+'Calibración de turnos'!$D$14,2)=0,"M2","T2"),"L"),IF(MOD($A27-1,7)+1&lt;=5,IF('Calibración de turnos'!$E$14=13,"M3b","M3a"),"L")))</f>
        <v>T2</v>
      </c>
      <c r="L27" s="63" t="str">
        <f aca="false">IF('Calibración de turnos'!$B$15="T1",MID("DDNNLL",MOD($A27-1+'Calibración de turnos'!$D$15,6)+1,1),IF('Calibración de turnos'!$B$15="T2",IF(MOD($A27-1,7)+1&lt;=5,IF(MOD(INT(($A27-1)/7)+'Calibración de turnos'!$D$15,2)=0,"M2","T2"),"L"),IF(MOD($A27-1,7)+1&lt;=5,IF('Calibración de turnos'!$E$15=13,"M3b","M3a"),"L")))</f>
        <v>M2</v>
      </c>
      <c r="M27" s="63" t="str">
        <f aca="false">IF('Calibración de turnos'!$B$16="T1",MID("DDNNLL",MOD($A27-1+'Calibración de turnos'!$D$16,6)+1,1),IF('Calibración de turnos'!$B$16="T2",IF(MOD($A27-1,7)+1&lt;=5,IF(MOD(INT(($A27-1)/7)+'Calibración de turnos'!$D$16,2)=0,"M2","T2"),"L"),IF(MOD($A27-1,7)+1&lt;=5,IF('Calibración de turnos'!$E$16=13,"M3b","M3a"),"L")))</f>
        <v>M3a</v>
      </c>
      <c r="N27" s="63" t="str">
        <f aca="false">IF('Calibración de turnos'!$B$17="T1",MID("DDNNLL",MOD($A27-1+'Calibración de turnos'!$D$17,6)+1,1),IF('Calibración de turnos'!$B$17="T2",IF(MOD($A27-1,7)+1&lt;=5,IF(MOD(INT(($A27-1)/7)+'Calibración de turnos'!$D$17,2)=0,"M2","T2"),"L"),IF(MOD($A27-1,7)+1&lt;=5,IF('Calibración de turnos'!$E$17=13,"M3b","M3a"),"L")))</f>
        <v>M3a</v>
      </c>
      <c r="O27" s="63" t="str">
        <f aca="false">IF('Calibración de turnos'!$B$18="T1",MID("DDNNLL",MOD($A27-1+'Calibración de turnos'!$D$18,6)+1,1),IF('Calibración de turnos'!$B$18="T2",IF(MOD($A27-1,7)+1&lt;=5,IF(MOD(INT(($A27-1)/7)+'Calibración de turnos'!$D$18,2)=0,"M2","T2"),"L"),IF(MOD($A27-1,7)+1&lt;=5,IF('Calibración de turnos'!$E$18=13,"M3b","M3a"),"L")))</f>
        <v>M3b</v>
      </c>
      <c r="P27" s="63" t="str">
        <f aca="false">IF('Calibración de turnos'!$B$19="T1",MID("DDNNLL",MOD($A27-1+'Calibración de turnos'!$D$19,6)+1,1),IF('Calibración de turnos'!$B$19="T2",IF(MOD($A27-1,7)+1&lt;=5,IF(MOD(INT(($A27-1)/7)+'Calibración de turnos'!$D$19,2)=0,"M2","T2"),"L"),IF(MOD($A27-1,7)+1&lt;=5,IF('Calibración de turnos'!$E$19=13,"M3b","M3a"),"L")))</f>
        <v>M3a</v>
      </c>
      <c r="Q27" s="63" t="str">
        <f aca="false">IF('Calibración de turnos'!$B$20="T1",MID("DDNNLL",MOD($A27-1+'Calibración de turnos'!$D$20,6)+1,1),IF('Calibración de turnos'!$B$20="T2",IF(MOD($A27-1,7)+1&lt;=5,IF(MOD(INT(($A27-1)/7)+'Calibración de turnos'!$D$20,2)=0,"M2","T2"),"L"),IF(MOD($A27-1,7)+1&lt;=5,IF('Calibración de turnos'!$E$20=13,"M3b","M3a"),"L")))</f>
        <v>M3b</v>
      </c>
      <c r="R27" s="63" t="str">
        <f aca="false">IF('Calibración de turnos'!$B$21="T1",MID("DDNNLL",MOD($A27-1+'Calibración de turnos'!$D$21,6)+1,1),IF('Calibración de turnos'!$B$21="T2",IF(MOD($A27-1,7)+1&lt;=5,IF(MOD(INT(($A27-1)/7)+'Calibración de turnos'!$D$21,2)=0,"M2","T2"),"L"),IF(MOD($A27-1,7)+1&lt;=5,IF('Calibración de turnos'!$E$21=13,"M3b","M3a"),"L")))</f>
        <v>M3b</v>
      </c>
      <c r="S27" s="63" t="str">
        <f aca="false">IF('Calibración de turnos'!$B$22="T1",MID("DDNNLL",MOD($A27-1+'Calibración de turnos'!$D$22,6)+1,1),IF('Calibración de turnos'!$B$22="T2",IF(MOD($A27-1,7)+1&lt;=5,IF(MOD(INT(($A27-1)/7)+'Calibración de turnos'!$D$22,2)=0,"M2","T2"),"L"),IF(MOD($A27-1,7)+1&lt;=5,IF('Calibración de turnos'!$E$22=13,"M3b","M3a"),"L")))</f>
        <v>M3a</v>
      </c>
      <c r="T27" s="63" t="str">
        <f aca="false">IF('Calibración de turnos'!$B$23="T1",MID("DDNNLL",MOD($A27-1+'Calibración de turnos'!$D$23,6)+1,1),IF('Calibración de turnos'!$B$23="T2",IF(MOD($A27-1,7)+1&lt;=5,IF(MOD(INT(($A27-1)/7)+'Calibración de turnos'!$D$23,2)=0,"M2","T2"),"L"),IF(MOD($A27-1,7)+1&lt;=5,IF('Calibración de turnos'!$E$23=13,"M3b","M3a"),"L")))</f>
        <v>M3b</v>
      </c>
      <c r="U27" s="63" t="str">
        <f aca="false">IF('Calibración de turnos'!$B$24="T1",MID("DDNNLL",MOD($A27-1+'Calibración de turnos'!$D$24,6)+1,1),IF('Calibración de turnos'!$B$24="T2",IF(MOD($A27-1,7)+1&lt;=5,IF(MOD(INT(($A27-1)/7)+'Calibración de turnos'!$D$24,2)=0,"M2","T2"),"L"),IF(MOD($A27-1,7)+1&lt;=5,IF('Calibración de turnos'!$E$24=13,"M3b","M3a"),"L")))</f>
        <v>M3a</v>
      </c>
      <c r="V27" s="63" t="str">
        <f aca="false">IF('Calibración de turnos'!$B$25="T1",MID("DDNNLL",MOD($A27-1+'Calibración de turnos'!$D$25,6)+1,1),IF('Calibración de turnos'!$B$25="T2",IF(MOD($A27-1,7)+1&lt;=5,IF(MOD(INT(($A27-1)/7)+'Calibración de turnos'!$D$25,2)=0,"M2","T2"),"L"),IF(MOD($A27-1,7)+1&lt;=5,IF('Calibración de turnos'!$E$25=13,"M3b","M3a"),"L")))</f>
        <v>M3b</v>
      </c>
    </row>
    <row r="28" customFormat="false" ht="15" hidden="false" customHeight="false" outlineLevel="0" collapsed="false">
      <c r="A28" s="18" t="n">
        <v>24</v>
      </c>
      <c r="B28" s="18" t="str">
        <f aca="false">CHOOSE(MOD(A28-1,7)+1,"lunes","martes","miércoles","jueves","viernes","sábado","domingo")</f>
        <v>miércoles</v>
      </c>
      <c r="C28" s="63" t="str">
        <f aca="false">IF('Calibración de turnos'!$B$6="T1",MID("DDNNLL",MOD($A28-1+'Calibración de turnos'!$D$6,6)+1,1),IF('Calibración de turnos'!$B$6="T2",IF(MOD($A28-1,7)+1&lt;=5,IF(MOD(INT(($A28-1)/7)+'Calibración de turnos'!$D$6,2)=0,"M2","T2"),"L"),IF(MOD($A28-1,7)+1&lt;=5,IF('Calibración de turnos'!$E$6=13,"M3b","M3a"),"L")))</f>
        <v>L</v>
      </c>
      <c r="D28" s="63" t="str">
        <f aca="false">IF('Calibración de turnos'!$B$7="T1",MID("DDNNLL",MOD($A28-1+'Calibración de turnos'!$D$7,6)+1,1),IF('Calibración de turnos'!$B$7="T2",IF(MOD($A28-1,7)+1&lt;=5,IF(MOD(INT(($A28-1)/7)+'Calibración de turnos'!$D$7,2)=0,"M2","T2"),"L"),IF(MOD($A28-1,7)+1&lt;=5,IF('Calibración de turnos'!$E$7=13,"M3b","M3a"),"L")))</f>
        <v>D</v>
      </c>
      <c r="E28" s="63" t="str">
        <f aca="false">IF('Calibración de turnos'!$B$8="T1",MID("DDNNLL",MOD($A28-1+'Calibración de turnos'!$D$8,6)+1,1),IF('Calibración de turnos'!$B$8="T2",IF(MOD($A28-1,7)+1&lt;=5,IF(MOD(INT(($A28-1)/7)+'Calibración de turnos'!$D$8,2)=0,"M2","T2"),"L"),IF(MOD($A28-1,7)+1&lt;=5,IF('Calibración de turnos'!$E$8=13,"M3b","M3a"),"L")))</f>
        <v>L</v>
      </c>
      <c r="F28" s="63" t="str">
        <f aca="false">IF('Calibración de turnos'!$B$9="T1",MID("DDNNLL",MOD($A28-1+'Calibración de turnos'!$D$9,6)+1,1),IF('Calibración de turnos'!$B$9="T2",IF(MOD($A28-1,7)+1&lt;=5,IF(MOD(INT(($A28-1)/7)+'Calibración de turnos'!$D$9,2)=0,"M2","T2"),"L"),IF(MOD($A28-1,7)+1&lt;=5,IF('Calibración de turnos'!$E$9=13,"M3b","M3a"),"L")))</f>
        <v>D</v>
      </c>
      <c r="G28" s="63" t="str">
        <f aca="false">IF('Calibración de turnos'!$B$10="T1",MID("DDNNLL",MOD($A28-1+'Calibración de turnos'!$D$10,6)+1,1),IF('Calibración de turnos'!$B$10="T2",IF(MOD($A28-1,7)+1&lt;=5,IF(MOD(INT(($A28-1)/7)+'Calibración de turnos'!$D$10,2)=0,"M2","T2"),"L"),IF(MOD($A28-1,7)+1&lt;=5,IF('Calibración de turnos'!$E$10=13,"M3b","M3a"),"L")))</f>
        <v>N</v>
      </c>
      <c r="H28" s="63" t="str">
        <f aca="false">IF('Calibración de turnos'!$B$11="T1",MID("DDNNLL",MOD($A28-1+'Calibración de turnos'!$D$11,6)+1,1),IF('Calibración de turnos'!$B$11="T2",IF(MOD($A28-1,7)+1&lt;=5,IF(MOD(INT(($A28-1)/7)+'Calibración de turnos'!$D$11,2)=0,"M2","T2"),"L"),IF(MOD($A28-1,7)+1&lt;=5,IF('Calibración de turnos'!$E$11=13,"M3b","M3a"),"L")))</f>
        <v>N</v>
      </c>
      <c r="I28" s="63" t="str">
        <f aca="false">IF('Calibración de turnos'!$B$12="T1",MID("DDNNLL",MOD($A28-1+'Calibración de turnos'!$D$12,6)+1,1),IF('Calibración de turnos'!$B$12="T2",IF(MOD($A28-1,7)+1&lt;=5,IF(MOD(INT(($A28-1)/7)+'Calibración de turnos'!$D$12,2)=0,"M2","T2"),"L"),IF(MOD($A28-1,7)+1&lt;=5,IF('Calibración de turnos'!$E$12=13,"M3b","M3a"),"L")))</f>
        <v>T2</v>
      </c>
      <c r="J28" s="63" t="str">
        <f aca="false">IF('Calibración de turnos'!$B$13="T1",MID("DDNNLL",MOD($A28-1+'Calibración de turnos'!$D$13,6)+1,1),IF('Calibración de turnos'!$B$13="T2",IF(MOD($A28-1,7)+1&lt;=5,IF(MOD(INT(($A28-1)/7)+'Calibración de turnos'!$D$13,2)=0,"M2","T2"),"L"),IF(MOD($A28-1,7)+1&lt;=5,IF('Calibración de turnos'!$E$13=13,"M3b","M3a"),"L")))</f>
        <v>M2</v>
      </c>
      <c r="K28" s="63" t="str">
        <f aca="false">IF('Calibración de turnos'!$B$14="T1",MID("DDNNLL",MOD($A28-1+'Calibración de turnos'!$D$14,6)+1,1),IF('Calibración de turnos'!$B$14="T2",IF(MOD($A28-1,7)+1&lt;=5,IF(MOD(INT(($A28-1)/7)+'Calibración de turnos'!$D$14,2)=0,"M2","T2"),"L"),IF(MOD($A28-1,7)+1&lt;=5,IF('Calibración de turnos'!$E$14=13,"M3b","M3a"),"L")))</f>
        <v>T2</v>
      </c>
      <c r="L28" s="63" t="str">
        <f aca="false">IF('Calibración de turnos'!$B$15="T1",MID("DDNNLL",MOD($A28-1+'Calibración de turnos'!$D$15,6)+1,1),IF('Calibración de turnos'!$B$15="T2",IF(MOD($A28-1,7)+1&lt;=5,IF(MOD(INT(($A28-1)/7)+'Calibración de turnos'!$D$15,2)=0,"M2","T2"),"L"),IF(MOD($A28-1,7)+1&lt;=5,IF('Calibración de turnos'!$E$15=13,"M3b","M3a"),"L")))</f>
        <v>M2</v>
      </c>
      <c r="M28" s="63" t="str">
        <f aca="false">IF('Calibración de turnos'!$B$16="T1",MID("DDNNLL",MOD($A28-1+'Calibración de turnos'!$D$16,6)+1,1),IF('Calibración de turnos'!$B$16="T2",IF(MOD($A28-1,7)+1&lt;=5,IF(MOD(INT(($A28-1)/7)+'Calibración de turnos'!$D$16,2)=0,"M2","T2"),"L"),IF(MOD($A28-1,7)+1&lt;=5,IF('Calibración de turnos'!$E$16=13,"M3b","M3a"),"L")))</f>
        <v>M3a</v>
      </c>
      <c r="N28" s="63" t="str">
        <f aca="false">IF('Calibración de turnos'!$B$17="T1",MID("DDNNLL",MOD($A28-1+'Calibración de turnos'!$D$17,6)+1,1),IF('Calibración de turnos'!$B$17="T2",IF(MOD($A28-1,7)+1&lt;=5,IF(MOD(INT(($A28-1)/7)+'Calibración de turnos'!$D$17,2)=0,"M2","T2"),"L"),IF(MOD($A28-1,7)+1&lt;=5,IF('Calibración de turnos'!$E$17=13,"M3b","M3a"),"L")))</f>
        <v>M3a</v>
      </c>
      <c r="O28" s="63" t="str">
        <f aca="false">IF('Calibración de turnos'!$B$18="T1",MID("DDNNLL",MOD($A28-1+'Calibración de turnos'!$D$18,6)+1,1),IF('Calibración de turnos'!$B$18="T2",IF(MOD($A28-1,7)+1&lt;=5,IF(MOD(INT(($A28-1)/7)+'Calibración de turnos'!$D$18,2)=0,"M2","T2"),"L"),IF(MOD($A28-1,7)+1&lt;=5,IF('Calibración de turnos'!$E$18=13,"M3b","M3a"),"L")))</f>
        <v>M3b</v>
      </c>
      <c r="P28" s="63" t="str">
        <f aca="false">IF('Calibración de turnos'!$B$19="T1",MID("DDNNLL",MOD($A28-1+'Calibración de turnos'!$D$19,6)+1,1),IF('Calibración de turnos'!$B$19="T2",IF(MOD($A28-1,7)+1&lt;=5,IF(MOD(INT(($A28-1)/7)+'Calibración de turnos'!$D$19,2)=0,"M2","T2"),"L"),IF(MOD($A28-1,7)+1&lt;=5,IF('Calibración de turnos'!$E$19=13,"M3b","M3a"),"L")))</f>
        <v>M3a</v>
      </c>
      <c r="Q28" s="63" t="str">
        <f aca="false">IF('Calibración de turnos'!$B$20="T1",MID("DDNNLL",MOD($A28-1+'Calibración de turnos'!$D$20,6)+1,1),IF('Calibración de turnos'!$B$20="T2",IF(MOD($A28-1,7)+1&lt;=5,IF(MOD(INT(($A28-1)/7)+'Calibración de turnos'!$D$20,2)=0,"M2","T2"),"L"),IF(MOD($A28-1,7)+1&lt;=5,IF('Calibración de turnos'!$E$20=13,"M3b","M3a"),"L")))</f>
        <v>M3b</v>
      </c>
      <c r="R28" s="63" t="str">
        <f aca="false">IF('Calibración de turnos'!$B$21="T1",MID("DDNNLL",MOD($A28-1+'Calibración de turnos'!$D$21,6)+1,1),IF('Calibración de turnos'!$B$21="T2",IF(MOD($A28-1,7)+1&lt;=5,IF(MOD(INT(($A28-1)/7)+'Calibración de turnos'!$D$21,2)=0,"M2","T2"),"L"),IF(MOD($A28-1,7)+1&lt;=5,IF('Calibración de turnos'!$E$21=13,"M3b","M3a"),"L")))</f>
        <v>M3b</v>
      </c>
      <c r="S28" s="63" t="str">
        <f aca="false">IF('Calibración de turnos'!$B$22="T1",MID("DDNNLL",MOD($A28-1+'Calibración de turnos'!$D$22,6)+1,1),IF('Calibración de turnos'!$B$22="T2",IF(MOD($A28-1,7)+1&lt;=5,IF(MOD(INT(($A28-1)/7)+'Calibración de turnos'!$D$22,2)=0,"M2","T2"),"L"),IF(MOD($A28-1,7)+1&lt;=5,IF('Calibración de turnos'!$E$22=13,"M3b","M3a"),"L")))</f>
        <v>M3a</v>
      </c>
      <c r="T28" s="63" t="str">
        <f aca="false">IF('Calibración de turnos'!$B$23="T1",MID("DDNNLL",MOD($A28-1+'Calibración de turnos'!$D$23,6)+1,1),IF('Calibración de turnos'!$B$23="T2",IF(MOD($A28-1,7)+1&lt;=5,IF(MOD(INT(($A28-1)/7)+'Calibración de turnos'!$D$23,2)=0,"M2","T2"),"L"),IF(MOD($A28-1,7)+1&lt;=5,IF('Calibración de turnos'!$E$23=13,"M3b","M3a"),"L")))</f>
        <v>M3b</v>
      </c>
      <c r="U28" s="63" t="str">
        <f aca="false">IF('Calibración de turnos'!$B$24="T1",MID("DDNNLL",MOD($A28-1+'Calibración de turnos'!$D$24,6)+1,1),IF('Calibración de turnos'!$B$24="T2",IF(MOD($A28-1,7)+1&lt;=5,IF(MOD(INT(($A28-1)/7)+'Calibración de turnos'!$D$24,2)=0,"M2","T2"),"L"),IF(MOD($A28-1,7)+1&lt;=5,IF('Calibración de turnos'!$E$24=13,"M3b","M3a"),"L")))</f>
        <v>M3a</v>
      </c>
      <c r="V28" s="63" t="str">
        <f aca="false">IF('Calibración de turnos'!$B$25="T1",MID("DDNNLL",MOD($A28-1+'Calibración de turnos'!$D$25,6)+1,1),IF('Calibración de turnos'!$B$25="T2",IF(MOD($A28-1,7)+1&lt;=5,IF(MOD(INT(($A28-1)/7)+'Calibración de turnos'!$D$25,2)=0,"M2","T2"),"L"),IF(MOD($A28-1,7)+1&lt;=5,IF('Calibración de turnos'!$E$25=13,"M3b","M3a"),"L")))</f>
        <v>M3b</v>
      </c>
    </row>
    <row r="29" customFormat="false" ht="15" hidden="false" customHeight="false" outlineLevel="0" collapsed="false">
      <c r="A29" s="18" t="n">
        <v>25</v>
      </c>
      <c r="B29" s="18" t="str">
        <f aca="false">CHOOSE(MOD(A29-1,7)+1,"lunes","martes","miércoles","jueves","viernes","sábado","domingo")</f>
        <v>jueves</v>
      </c>
      <c r="C29" s="63" t="str">
        <f aca="false">IF('Calibración de turnos'!$B$6="T1",MID("DDNNLL",MOD($A29-1+'Calibración de turnos'!$D$6,6)+1,1),IF('Calibración de turnos'!$B$6="T2",IF(MOD($A29-1,7)+1&lt;=5,IF(MOD(INT(($A29-1)/7)+'Calibración de turnos'!$D$6,2)=0,"M2","T2"),"L"),IF(MOD($A29-1,7)+1&lt;=5,IF('Calibración de turnos'!$E$6=13,"M3b","M3a"),"L")))</f>
        <v>D</v>
      </c>
      <c r="D29" s="63" t="str">
        <f aca="false">IF('Calibración de turnos'!$B$7="T1",MID("DDNNLL",MOD($A29-1+'Calibración de turnos'!$D$7,6)+1,1),IF('Calibración de turnos'!$B$7="T2",IF(MOD($A29-1,7)+1&lt;=5,IF(MOD(INT(($A29-1)/7)+'Calibración de turnos'!$D$7,2)=0,"M2","T2"),"L"),IF(MOD($A29-1,7)+1&lt;=5,IF('Calibración de turnos'!$E$7=13,"M3b","M3a"),"L")))</f>
        <v>N</v>
      </c>
      <c r="E29" s="63" t="str">
        <f aca="false">IF('Calibración de turnos'!$B$8="T1",MID("DDNNLL",MOD($A29-1+'Calibración de turnos'!$D$8,6)+1,1),IF('Calibración de turnos'!$B$8="T2",IF(MOD($A29-1,7)+1&lt;=5,IF(MOD(INT(($A29-1)/7)+'Calibración de turnos'!$D$8,2)=0,"M2","T2"),"L"),IF(MOD($A29-1,7)+1&lt;=5,IF('Calibración de turnos'!$E$8=13,"M3b","M3a"),"L")))</f>
        <v>D</v>
      </c>
      <c r="F29" s="63" t="str">
        <f aca="false">IF('Calibración de turnos'!$B$9="T1",MID("DDNNLL",MOD($A29-1+'Calibración de turnos'!$D$9,6)+1,1),IF('Calibración de turnos'!$B$9="T2",IF(MOD($A29-1,7)+1&lt;=5,IF(MOD(INT(($A29-1)/7)+'Calibración de turnos'!$D$9,2)=0,"M2","T2"),"L"),IF(MOD($A29-1,7)+1&lt;=5,IF('Calibración de turnos'!$E$9=13,"M3b","M3a"),"L")))</f>
        <v>N</v>
      </c>
      <c r="G29" s="63" t="str">
        <f aca="false">IF('Calibración de turnos'!$B$10="T1",MID("DDNNLL",MOD($A29-1+'Calibración de turnos'!$D$10,6)+1,1),IF('Calibración de turnos'!$B$10="T2",IF(MOD($A29-1,7)+1&lt;=5,IF(MOD(INT(($A29-1)/7)+'Calibración de turnos'!$D$10,2)=0,"M2","T2"),"L"),IF(MOD($A29-1,7)+1&lt;=5,IF('Calibración de turnos'!$E$10=13,"M3b","M3a"),"L")))</f>
        <v>L</v>
      </c>
      <c r="H29" s="63" t="str">
        <f aca="false">IF('Calibración de turnos'!$B$11="T1",MID("DDNNLL",MOD($A29-1+'Calibración de turnos'!$D$11,6)+1,1),IF('Calibración de turnos'!$B$11="T2",IF(MOD($A29-1,7)+1&lt;=5,IF(MOD(INT(($A29-1)/7)+'Calibración de turnos'!$D$11,2)=0,"M2","T2"),"L"),IF(MOD($A29-1,7)+1&lt;=5,IF('Calibración de turnos'!$E$11=13,"M3b","M3a"),"L")))</f>
        <v>L</v>
      </c>
      <c r="I29" s="63" t="str">
        <f aca="false">IF('Calibración de turnos'!$B$12="T1",MID("DDNNLL",MOD($A29-1+'Calibración de turnos'!$D$12,6)+1,1),IF('Calibración de turnos'!$B$12="T2",IF(MOD($A29-1,7)+1&lt;=5,IF(MOD(INT(($A29-1)/7)+'Calibración de turnos'!$D$12,2)=0,"M2","T2"),"L"),IF(MOD($A29-1,7)+1&lt;=5,IF('Calibración de turnos'!$E$12=13,"M3b","M3a"),"L")))</f>
        <v>T2</v>
      </c>
      <c r="J29" s="63" t="str">
        <f aca="false">IF('Calibración de turnos'!$B$13="T1",MID("DDNNLL",MOD($A29-1+'Calibración de turnos'!$D$13,6)+1,1),IF('Calibración de turnos'!$B$13="T2",IF(MOD($A29-1,7)+1&lt;=5,IF(MOD(INT(($A29-1)/7)+'Calibración de turnos'!$D$13,2)=0,"M2","T2"),"L"),IF(MOD($A29-1,7)+1&lt;=5,IF('Calibración de turnos'!$E$13=13,"M3b","M3a"),"L")))</f>
        <v>M2</v>
      </c>
      <c r="K29" s="63" t="str">
        <f aca="false">IF('Calibración de turnos'!$B$14="T1",MID("DDNNLL",MOD($A29-1+'Calibración de turnos'!$D$14,6)+1,1),IF('Calibración de turnos'!$B$14="T2",IF(MOD($A29-1,7)+1&lt;=5,IF(MOD(INT(($A29-1)/7)+'Calibración de turnos'!$D$14,2)=0,"M2","T2"),"L"),IF(MOD($A29-1,7)+1&lt;=5,IF('Calibración de turnos'!$E$14=13,"M3b","M3a"),"L")))</f>
        <v>T2</v>
      </c>
      <c r="L29" s="63" t="str">
        <f aca="false">IF('Calibración de turnos'!$B$15="T1",MID("DDNNLL",MOD($A29-1+'Calibración de turnos'!$D$15,6)+1,1),IF('Calibración de turnos'!$B$15="T2",IF(MOD($A29-1,7)+1&lt;=5,IF(MOD(INT(($A29-1)/7)+'Calibración de turnos'!$D$15,2)=0,"M2","T2"),"L"),IF(MOD($A29-1,7)+1&lt;=5,IF('Calibración de turnos'!$E$15=13,"M3b","M3a"),"L")))</f>
        <v>M2</v>
      </c>
      <c r="M29" s="63" t="str">
        <f aca="false">IF('Calibración de turnos'!$B$16="T1",MID("DDNNLL",MOD($A29-1+'Calibración de turnos'!$D$16,6)+1,1),IF('Calibración de turnos'!$B$16="T2",IF(MOD($A29-1,7)+1&lt;=5,IF(MOD(INT(($A29-1)/7)+'Calibración de turnos'!$D$16,2)=0,"M2","T2"),"L"),IF(MOD($A29-1,7)+1&lt;=5,IF('Calibración de turnos'!$E$16=13,"M3b","M3a"),"L")))</f>
        <v>M3a</v>
      </c>
      <c r="N29" s="63" t="str">
        <f aca="false">IF('Calibración de turnos'!$B$17="T1",MID("DDNNLL",MOD($A29-1+'Calibración de turnos'!$D$17,6)+1,1),IF('Calibración de turnos'!$B$17="T2",IF(MOD($A29-1,7)+1&lt;=5,IF(MOD(INT(($A29-1)/7)+'Calibración de turnos'!$D$17,2)=0,"M2","T2"),"L"),IF(MOD($A29-1,7)+1&lt;=5,IF('Calibración de turnos'!$E$17=13,"M3b","M3a"),"L")))</f>
        <v>M3a</v>
      </c>
      <c r="O29" s="63" t="str">
        <f aca="false">IF('Calibración de turnos'!$B$18="T1",MID("DDNNLL",MOD($A29-1+'Calibración de turnos'!$D$18,6)+1,1),IF('Calibración de turnos'!$B$18="T2",IF(MOD($A29-1,7)+1&lt;=5,IF(MOD(INT(($A29-1)/7)+'Calibración de turnos'!$D$18,2)=0,"M2","T2"),"L"),IF(MOD($A29-1,7)+1&lt;=5,IF('Calibración de turnos'!$E$18=13,"M3b","M3a"),"L")))</f>
        <v>M3b</v>
      </c>
      <c r="P29" s="63" t="str">
        <f aca="false">IF('Calibración de turnos'!$B$19="T1",MID("DDNNLL",MOD($A29-1+'Calibración de turnos'!$D$19,6)+1,1),IF('Calibración de turnos'!$B$19="T2",IF(MOD($A29-1,7)+1&lt;=5,IF(MOD(INT(($A29-1)/7)+'Calibración de turnos'!$D$19,2)=0,"M2","T2"),"L"),IF(MOD($A29-1,7)+1&lt;=5,IF('Calibración de turnos'!$E$19=13,"M3b","M3a"),"L")))</f>
        <v>M3a</v>
      </c>
      <c r="Q29" s="63" t="str">
        <f aca="false">IF('Calibración de turnos'!$B$20="T1",MID("DDNNLL",MOD($A29-1+'Calibración de turnos'!$D$20,6)+1,1),IF('Calibración de turnos'!$B$20="T2",IF(MOD($A29-1,7)+1&lt;=5,IF(MOD(INT(($A29-1)/7)+'Calibración de turnos'!$D$20,2)=0,"M2","T2"),"L"),IF(MOD($A29-1,7)+1&lt;=5,IF('Calibración de turnos'!$E$20=13,"M3b","M3a"),"L")))</f>
        <v>M3b</v>
      </c>
      <c r="R29" s="63" t="str">
        <f aca="false">IF('Calibración de turnos'!$B$21="T1",MID("DDNNLL",MOD($A29-1+'Calibración de turnos'!$D$21,6)+1,1),IF('Calibración de turnos'!$B$21="T2",IF(MOD($A29-1,7)+1&lt;=5,IF(MOD(INT(($A29-1)/7)+'Calibración de turnos'!$D$21,2)=0,"M2","T2"),"L"),IF(MOD($A29-1,7)+1&lt;=5,IF('Calibración de turnos'!$E$21=13,"M3b","M3a"),"L")))</f>
        <v>M3b</v>
      </c>
      <c r="S29" s="63" t="str">
        <f aca="false">IF('Calibración de turnos'!$B$22="T1",MID("DDNNLL",MOD($A29-1+'Calibración de turnos'!$D$22,6)+1,1),IF('Calibración de turnos'!$B$22="T2",IF(MOD($A29-1,7)+1&lt;=5,IF(MOD(INT(($A29-1)/7)+'Calibración de turnos'!$D$22,2)=0,"M2","T2"),"L"),IF(MOD($A29-1,7)+1&lt;=5,IF('Calibración de turnos'!$E$22=13,"M3b","M3a"),"L")))</f>
        <v>M3a</v>
      </c>
      <c r="T29" s="63" t="str">
        <f aca="false">IF('Calibración de turnos'!$B$23="T1",MID("DDNNLL",MOD($A29-1+'Calibración de turnos'!$D$23,6)+1,1),IF('Calibración de turnos'!$B$23="T2",IF(MOD($A29-1,7)+1&lt;=5,IF(MOD(INT(($A29-1)/7)+'Calibración de turnos'!$D$23,2)=0,"M2","T2"),"L"),IF(MOD($A29-1,7)+1&lt;=5,IF('Calibración de turnos'!$E$23=13,"M3b","M3a"),"L")))</f>
        <v>M3b</v>
      </c>
      <c r="U29" s="63" t="str">
        <f aca="false">IF('Calibración de turnos'!$B$24="T1",MID("DDNNLL",MOD($A29-1+'Calibración de turnos'!$D$24,6)+1,1),IF('Calibración de turnos'!$B$24="T2",IF(MOD($A29-1,7)+1&lt;=5,IF(MOD(INT(($A29-1)/7)+'Calibración de turnos'!$D$24,2)=0,"M2","T2"),"L"),IF(MOD($A29-1,7)+1&lt;=5,IF('Calibración de turnos'!$E$24=13,"M3b","M3a"),"L")))</f>
        <v>M3a</v>
      </c>
      <c r="V29" s="63" t="str">
        <f aca="false">IF('Calibración de turnos'!$B$25="T1",MID("DDNNLL",MOD($A29-1+'Calibración de turnos'!$D$25,6)+1,1),IF('Calibración de turnos'!$B$25="T2",IF(MOD($A29-1,7)+1&lt;=5,IF(MOD(INT(($A29-1)/7)+'Calibración de turnos'!$D$25,2)=0,"M2","T2"),"L"),IF(MOD($A29-1,7)+1&lt;=5,IF('Calibración de turnos'!$E$25=13,"M3b","M3a"),"L")))</f>
        <v>M3b</v>
      </c>
    </row>
    <row r="30" customFormat="false" ht="15" hidden="false" customHeight="false" outlineLevel="0" collapsed="false">
      <c r="A30" s="18" t="n">
        <v>26</v>
      </c>
      <c r="B30" s="18" t="str">
        <f aca="false">CHOOSE(MOD(A30-1,7)+1,"lunes","martes","miércoles","jueves","viernes","sábado","domingo")</f>
        <v>viernes</v>
      </c>
      <c r="C30" s="63" t="str">
        <f aca="false">IF('Calibración de turnos'!$B$6="T1",MID("DDNNLL",MOD($A30-1+'Calibración de turnos'!$D$6,6)+1,1),IF('Calibración de turnos'!$B$6="T2",IF(MOD($A30-1,7)+1&lt;=5,IF(MOD(INT(($A30-1)/7)+'Calibración de turnos'!$D$6,2)=0,"M2","T2"),"L"),IF(MOD($A30-1,7)+1&lt;=5,IF('Calibración de turnos'!$E$6=13,"M3b","M3a"),"L")))</f>
        <v>D</v>
      </c>
      <c r="D30" s="63" t="str">
        <f aca="false">IF('Calibración de turnos'!$B$7="T1",MID("DDNNLL",MOD($A30-1+'Calibración de turnos'!$D$7,6)+1,1),IF('Calibración de turnos'!$B$7="T2",IF(MOD($A30-1,7)+1&lt;=5,IF(MOD(INT(($A30-1)/7)+'Calibración de turnos'!$D$7,2)=0,"M2","T2"),"L"),IF(MOD($A30-1,7)+1&lt;=5,IF('Calibración de turnos'!$E$7=13,"M3b","M3a"),"L")))</f>
        <v>N</v>
      </c>
      <c r="E30" s="63" t="str">
        <f aca="false">IF('Calibración de turnos'!$B$8="T1",MID("DDNNLL",MOD($A30-1+'Calibración de turnos'!$D$8,6)+1,1),IF('Calibración de turnos'!$B$8="T2",IF(MOD($A30-1,7)+1&lt;=5,IF(MOD(INT(($A30-1)/7)+'Calibración de turnos'!$D$8,2)=0,"M2","T2"),"L"),IF(MOD($A30-1,7)+1&lt;=5,IF('Calibración de turnos'!$E$8=13,"M3b","M3a"),"L")))</f>
        <v>D</v>
      </c>
      <c r="F30" s="63" t="str">
        <f aca="false">IF('Calibración de turnos'!$B$9="T1",MID("DDNNLL",MOD($A30-1+'Calibración de turnos'!$D$9,6)+1,1),IF('Calibración de turnos'!$B$9="T2",IF(MOD($A30-1,7)+1&lt;=5,IF(MOD(INT(($A30-1)/7)+'Calibración de turnos'!$D$9,2)=0,"M2","T2"),"L"),IF(MOD($A30-1,7)+1&lt;=5,IF('Calibración de turnos'!$E$9=13,"M3b","M3a"),"L")))</f>
        <v>N</v>
      </c>
      <c r="G30" s="63" t="str">
        <f aca="false">IF('Calibración de turnos'!$B$10="T1",MID("DDNNLL",MOD($A30-1+'Calibración de turnos'!$D$10,6)+1,1),IF('Calibración de turnos'!$B$10="T2",IF(MOD($A30-1,7)+1&lt;=5,IF(MOD(INT(($A30-1)/7)+'Calibración de turnos'!$D$10,2)=0,"M2","T2"),"L"),IF(MOD($A30-1,7)+1&lt;=5,IF('Calibración de turnos'!$E$10=13,"M3b","M3a"),"L")))</f>
        <v>L</v>
      </c>
      <c r="H30" s="63" t="str">
        <f aca="false">IF('Calibración de turnos'!$B$11="T1",MID("DDNNLL",MOD($A30-1+'Calibración de turnos'!$D$11,6)+1,1),IF('Calibración de turnos'!$B$11="T2",IF(MOD($A30-1,7)+1&lt;=5,IF(MOD(INT(($A30-1)/7)+'Calibración de turnos'!$D$11,2)=0,"M2","T2"),"L"),IF(MOD($A30-1,7)+1&lt;=5,IF('Calibración de turnos'!$E$11=13,"M3b","M3a"),"L")))</f>
        <v>L</v>
      </c>
      <c r="I30" s="63" t="str">
        <f aca="false">IF('Calibración de turnos'!$B$12="T1",MID("DDNNLL",MOD($A30-1+'Calibración de turnos'!$D$12,6)+1,1),IF('Calibración de turnos'!$B$12="T2",IF(MOD($A30-1,7)+1&lt;=5,IF(MOD(INT(($A30-1)/7)+'Calibración de turnos'!$D$12,2)=0,"M2","T2"),"L"),IF(MOD($A30-1,7)+1&lt;=5,IF('Calibración de turnos'!$E$12=13,"M3b","M3a"),"L")))</f>
        <v>T2</v>
      </c>
      <c r="J30" s="63" t="str">
        <f aca="false">IF('Calibración de turnos'!$B$13="T1",MID("DDNNLL",MOD($A30-1+'Calibración de turnos'!$D$13,6)+1,1),IF('Calibración de turnos'!$B$13="T2",IF(MOD($A30-1,7)+1&lt;=5,IF(MOD(INT(($A30-1)/7)+'Calibración de turnos'!$D$13,2)=0,"M2","T2"),"L"),IF(MOD($A30-1,7)+1&lt;=5,IF('Calibración de turnos'!$E$13=13,"M3b","M3a"),"L")))</f>
        <v>M2</v>
      </c>
      <c r="K30" s="63" t="str">
        <f aca="false">IF('Calibración de turnos'!$B$14="T1",MID("DDNNLL",MOD($A30-1+'Calibración de turnos'!$D$14,6)+1,1),IF('Calibración de turnos'!$B$14="T2",IF(MOD($A30-1,7)+1&lt;=5,IF(MOD(INT(($A30-1)/7)+'Calibración de turnos'!$D$14,2)=0,"M2","T2"),"L"),IF(MOD($A30-1,7)+1&lt;=5,IF('Calibración de turnos'!$E$14=13,"M3b","M3a"),"L")))</f>
        <v>T2</v>
      </c>
      <c r="L30" s="63" t="str">
        <f aca="false">IF('Calibración de turnos'!$B$15="T1",MID("DDNNLL",MOD($A30-1+'Calibración de turnos'!$D$15,6)+1,1),IF('Calibración de turnos'!$B$15="T2",IF(MOD($A30-1,7)+1&lt;=5,IF(MOD(INT(($A30-1)/7)+'Calibración de turnos'!$D$15,2)=0,"M2","T2"),"L"),IF(MOD($A30-1,7)+1&lt;=5,IF('Calibración de turnos'!$E$15=13,"M3b","M3a"),"L")))</f>
        <v>M2</v>
      </c>
      <c r="M30" s="63" t="str">
        <f aca="false">IF('Calibración de turnos'!$B$16="T1",MID("DDNNLL",MOD($A30-1+'Calibración de turnos'!$D$16,6)+1,1),IF('Calibración de turnos'!$B$16="T2",IF(MOD($A30-1,7)+1&lt;=5,IF(MOD(INT(($A30-1)/7)+'Calibración de turnos'!$D$16,2)=0,"M2","T2"),"L"),IF(MOD($A30-1,7)+1&lt;=5,IF('Calibración de turnos'!$E$16=13,"M3b","M3a"),"L")))</f>
        <v>M3a</v>
      </c>
      <c r="N30" s="63" t="str">
        <f aca="false">IF('Calibración de turnos'!$B$17="T1",MID("DDNNLL",MOD($A30-1+'Calibración de turnos'!$D$17,6)+1,1),IF('Calibración de turnos'!$B$17="T2",IF(MOD($A30-1,7)+1&lt;=5,IF(MOD(INT(($A30-1)/7)+'Calibración de turnos'!$D$17,2)=0,"M2","T2"),"L"),IF(MOD($A30-1,7)+1&lt;=5,IF('Calibración de turnos'!$E$17=13,"M3b","M3a"),"L")))</f>
        <v>M3a</v>
      </c>
      <c r="O30" s="63" t="str">
        <f aca="false">IF('Calibración de turnos'!$B$18="T1",MID("DDNNLL",MOD($A30-1+'Calibración de turnos'!$D$18,6)+1,1),IF('Calibración de turnos'!$B$18="T2",IF(MOD($A30-1,7)+1&lt;=5,IF(MOD(INT(($A30-1)/7)+'Calibración de turnos'!$D$18,2)=0,"M2","T2"),"L"),IF(MOD($A30-1,7)+1&lt;=5,IF('Calibración de turnos'!$E$18=13,"M3b","M3a"),"L")))</f>
        <v>M3b</v>
      </c>
      <c r="P30" s="63" t="str">
        <f aca="false">IF('Calibración de turnos'!$B$19="T1",MID("DDNNLL",MOD($A30-1+'Calibración de turnos'!$D$19,6)+1,1),IF('Calibración de turnos'!$B$19="T2",IF(MOD($A30-1,7)+1&lt;=5,IF(MOD(INT(($A30-1)/7)+'Calibración de turnos'!$D$19,2)=0,"M2","T2"),"L"),IF(MOD($A30-1,7)+1&lt;=5,IF('Calibración de turnos'!$E$19=13,"M3b","M3a"),"L")))</f>
        <v>M3a</v>
      </c>
      <c r="Q30" s="63" t="str">
        <f aca="false">IF('Calibración de turnos'!$B$20="T1",MID("DDNNLL",MOD($A30-1+'Calibración de turnos'!$D$20,6)+1,1),IF('Calibración de turnos'!$B$20="T2",IF(MOD($A30-1,7)+1&lt;=5,IF(MOD(INT(($A30-1)/7)+'Calibración de turnos'!$D$20,2)=0,"M2","T2"),"L"),IF(MOD($A30-1,7)+1&lt;=5,IF('Calibración de turnos'!$E$20=13,"M3b","M3a"),"L")))</f>
        <v>M3b</v>
      </c>
      <c r="R30" s="63" t="str">
        <f aca="false">IF('Calibración de turnos'!$B$21="T1",MID("DDNNLL",MOD($A30-1+'Calibración de turnos'!$D$21,6)+1,1),IF('Calibración de turnos'!$B$21="T2",IF(MOD($A30-1,7)+1&lt;=5,IF(MOD(INT(($A30-1)/7)+'Calibración de turnos'!$D$21,2)=0,"M2","T2"),"L"),IF(MOD($A30-1,7)+1&lt;=5,IF('Calibración de turnos'!$E$21=13,"M3b","M3a"),"L")))</f>
        <v>M3b</v>
      </c>
      <c r="S30" s="63" t="str">
        <f aca="false">IF('Calibración de turnos'!$B$22="T1",MID("DDNNLL",MOD($A30-1+'Calibración de turnos'!$D$22,6)+1,1),IF('Calibración de turnos'!$B$22="T2",IF(MOD($A30-1,7)+1&lt;=5,IF(MOD(INT(($A30-1)/7)+'Calibración de turnos'!$D$22,2)=0,"M2","T2"),"L"),IF(MOD($A30-1,7)+1&lt;=5,IF('Calibración de turnos'!$E$22=13,"M3b","M3a"),"L")))</f>
        <v>M3a</v>
      </c>
      <c r="T30" s="63" t="str">
        <f aca="false">IF('Calibración de turnos'!$B$23="T1",MID("DDNNLL",MOD($A30-1+'Calibración de turnos'!$D$23,6)+1,1),IF('Calibración de turnos'!$B$23="T2",IF(MOD($A30-1,7)+1&lt;=5,IF(MOD(INT(($A30-1)/7)+'Calibración de turnos'!$D$23,2)=0,"M2","T2"),"L"),IF(MOD($A30-1,7)+1&lt;=5,IF('Calibración de turnos'!$E$23=13,"M3b","M3a"),"L")))</f>
        <v>M3b</v>
      </c>
      <c r="U30" s="63" t="str">
        <f aca="false">IF('Calibración de turnos'!$B$24="T1",MID("DDNNLL",MOD($A30-1+'Calibración de turnos'!$D$24,6)+1,1),IF('Calibración de turnos'!$B$24="T2",IF(MOD($A30-1,7)+1&lt;=5,IF(MOD(INT(($A30-1)/7)+'Calibración de turnos'!$D$24,2)=0,"M2","T2"),"L"),IF(MOD($A30-1,7)+1&lt;=5,IF('Calibración de turnos'!$E$24=13,"M3b","M3a"),"L")))</f>
        <v>M3a</v>
      </c>
      <c r="V30" s="63" t="str">
        <f aca="false">IF('Calibración de turnos'!$B$25="T1",MID("DDNNLL",MOD($A30-1+'Calibración de turnos'!$D$25,6)+1,1),IF('Calibración de turnos'!$B$25="T2",IF(MOD($A30-1,7)+1&lt;=5,IF(MOD(INT(($A30-1)/7)+'Calibración de turnos'!$D$25,2)=0,"M2","T2"),"L"),IF(MOD($A30-1,7)+1&lt;=5,IF('Calibración de turnos'!$E$25=13,"M3b","M3a"),"L")))</f>
        <v>M3b</v>
      </c>
    </row>
    <row r="31" customFormat="false" ht="15" hidden="false" customHeight="false" outlineLevel="0" collapsed="false">
      <c r="A31" s="18" t="n">
        <v>27</v>
      </c>
      <c r="B31" s="18" t="str">
        <f aca="false">CHOOSE(MOD(A31-1,7)+1,"lunes","martes","miércoles","jueves","viernes","sábado","domingo")</f>
        <v>sábado</v>
      </c>
      <c r="C31" s="63" t="str">
        <f aca="false">IF('Calibración de turnos'!$B$6="T1",MID("DDNNLL",MOD($A31-1+'Calibración de turnos'!$D$6,6)+1,1),IF('Calibración de turnos'!$B$6="T2",IF(MOD($A31-1,7)+1&lt;=5,IF(MOD(INT(($A31-1)/7)+'Calibración de turnos'!$D$6,2)=0,"M2","T2"),"L"),IF(MOD($A31-1,7)+1&lt;=5,IF('Calibración de turnos'!$E$6=13,"M3b","M3a"),"L")))</f>
        <v>N</v>
      </c>
      <c r="D31" s="63" t="str">
        <f aca="false">IF('Calibración de turnos'!$B$7="T1",MID("DDNNLL",MOD($A31-1+'Calibración de turnos'!$D$7,6)+1,1),IF('Calibración de turnos'!$B$7="T2",IF(MOD($A31-1,7)+1&lt;=5,IF(MOD(INT(($A31-1)/7)+'Calibración de turnos'!$D$7,2)=0,"M2","T2"),"L"),IF(MOD($A31-1,7)+1&lt;=5,IF('Calibración de turnos'!$E$7=13,"M3b","M3a"),"L")))</f>
        <v>L</v>
      </c>
      <c r="E31" s="63" t="str">
        <f aca="false">IF('Calibración de turnos'!$B$8="T1",MID("DDNNLL",MOD($A31-1+'Calibración de turnos'!$D$8,6)+1,1),IF('Calibración de turnos'!$B$8="T2",IF(MOD($A31-1,7)+1&lt;=5,IF(MOD(INT(($A31-1)/7)+'Calibración de turnos'!$D$8,2)=0,"M2","T2"),"L"),IF(MOD($A31-1,7)+1&lt;=5,IF('Calibración de turnos'!$E$8=13,"M3b","M3a"),"L")))</f>
        <v>N</v>
      </c>
      <c r="F31" s="63" t="str">
        <f aca="false">IF('Calibración de turnos'!$B$9="T1",MID("DDNNLL",MOD($A31-1+'Calibración de turnos'!$D$9,6)+1,1),IF('Calibración de turnos'!$B$9="T2",IF(MOD($A31-1,7)+1&lt;=5,IF(MOD(INT(($A31-1)/7)+'Calibración de turnos'!$D$9,2)=0,"M2","T2"),"L"),IF(MOD($A31-1,7)+1&lt;=5,IF('Calibración de turnos'!$E$9=13,"M3b","M3a"),"L")))</f>
        <v>L</v>
      </c>
      <c r="G31" s="63" t="str">
        <f aca="false">IF('Calibración de turnos'!$B$10="T1",MID("DDNNLL",MOD($A31-1+'Calibración de turnos'!$D$10,6)+1,1),IF('Calibración de turnos'!$B$10="T2",IF(MOD($A31-1,7)+1&lt;=5,IF(MOD(INT(($A31-1)/7)+'Calibración de turnos'!$D$10,2)=0,"M2","T2"),"L"),IF(MOD($A31-1,7)+1&lt;=5,IF('Calibración de turnos'!$E$10=13,"M3b","M3a"),"L")))</f>
        <v>D</v>
      </c>
      <c r="H31" s="63" t="str">
        <f aca="false">IF('Calibración de turnos'!$B$11="T1",MID("DDNNLL",MOD($A31-1+'Calibración de turnos'!$D$11,6)+1,1),IF('Calibración de turnos'!$B$11="T2",IF(MOD($A31-1,7)+1&lt;=5,IF(MOD(INT(($A31-1)/7)+'Calibración de turnos'!$D$11,2)=0,"M2","T2"),"L"),IF(MOD($A31-1,7)+1&lt;=5,IF('Calibración de turnos'!$E$11=13,"M3b","M3a"),"L")))</f>
        <v>D</v>
      </c>
      <c r="I31" s="63" t="str">
        <f aca="false">IF('Calibración de turnos'!$B$12="T1",MID("DDNNLL",MOD($A31-1+'Calibración de turnos'!$D$12,6)+1,1),IF('Calibración de turnos'!$B$12="T2",IF(MOD($A31-1,7)+1&lt;=5,IF(MOD(INT(($A31-1)/7)+'Calibración de turnos'!$D$12,2)=0,"M2","T2"),"L"),IF(MOD($A31-1,7)+1&lt;=5,IF('Calibración de turnos'!$E$12=13,"M3b","M3a"),"L")))</f>
        <v>L</v>
      </c>
      <c r="J31" s="63" t="str">
        <f aca="false">IF('Calibración de turnos'!$B$13="T1",MID("DDNNLL",MOD($A31-1+'Calibración de turnos'!$D$13,6)+1,1),IF('Calibración de turnos'!$B$13="T2",IF(MOD($A31-1,7)+1&lt;=5,IF(MOD(INT(($A31-1)/7)+'Calibración de turnos'!$D$13,2)=0,"M2","T2"),"L"),IF(MOD($A31-1,7)+1&lt;=5,IF('Calibración de turnos'!$E$13=13,"M3b","M3a"),"L")))</f>
        <v>L</v>
      </c>
      <c r="K31" s="63" t="str">
        <f aca="false">IF('Calibración de turnos'!$B$14="T1",MID("DDNNLL",MOD($A31-1+'Calibración de turnos'!$D$14,6)+1,1),IF('Calibración de turnos'!$B$14="T2",IF(MOD($A31-1,7)+1&lt;=5,IF(MOD(INT(($A31-1)/7)+'Calibración de turnos'!$D$14,2)=0,"M2","T2"),"L"),IF(MOD($A31-1,7)+1&lt;=5,IF('Calibración de turnos'!$E$14=13,"M3b","M3a"),"L")))</f>
        <v>L</v>
      </c>
      <c r="L31" s="63" t="str">
        <f aca="false">IF('Calibración de turnos'!$B$15="T1",MID("DDNNLL",MOD($A31-1+'Calibración de turnos'!$D$15,6)+1,1),IF('Calibración de turnos'!$B$15="T2",IF(MOD($A31-1,7)+1&lt;=5,IF(MOD(INT(($A31-1)/7)+'Calibración de turnos'!$D$15,2)=0,"M2","T2"),"L"),IF(MOD($A31-1,7)+1&lt;=5,IF('Calibración de turnos'!$E$15=13,"M3b","M3a"),"L")))</f>
        <v>L</v>
      </c>
      <c r="M31" s="63" t="str">
        <f aca="false">IF('Calibración de turnos'!$B$16="T1",MID("DDNNLL",MOD($A31-1+'Calibración de turnos'!$D$16,6)+1,1),IF('Calibración de turnos'!$B$16="T2",IF(MOD($A31-1,7)+1&lt;=5,IF(MOD(INT(($A31-1)/7)+'Calibración de turnos'!$D$16,2)=0,"M2","T2"),"L"),IF(MOD($A31-1,7)+1&lt;=5,IF('Calibración de turnos'!$E$16=13,"M3b","M3a"),"L")))</f>
        <v>L</v>
      </c>
      <c r="N31" s="63" t="str">
        <f aca="false">IF('Calibración de turnos'!$B$17="T1",MID("DDNNLL",MOD($A31-1+'Calibración de turnos'!$D$17,6)+1,1),IF('Calibración de turnos'!$B$17="T2",IF(MOD($A31-1,7)+1&lt;=5,IF(MOD(INT(($A31-1)/7)+'Calibración de turnos'!$D$17,2)=0,"M2","T2"),"L"),IF(MOD($A31-1,7)+1&lt;=5,IF('Calibración de turnos'!$E$17=13,"M3b","M3a"),"L")))</f>
        <v>L</v>
      </c>
      <c r="O31" s="63" t="str">
        <f aca="false">IF('Calibración de turnos'!$B$18="T1",MID("DDNNLL",MOD($A31-1+'Calibración de turnos'!$D$18,6)+1,1),IF('Calibración de turnos'!$B$18="T2",IF(MOD($A31-1,7)+1&lt;=5,IF(MOD(INT(($A31-1)/7)+'Calibración de turnos'!$D$18,2)=0,"M2","T2"),"L"),IF(MOD($A31-1,7)+1&lt;=5,IF('Calibración de turnos'!$E$18=13,"M3b","M3a"),"L")))</f>
        <v>L</v>
      </c>
      <c r="P31" s="63" t="str">
        <f aca="false">IF('Calibración de turnos'!$B$19="T1",MID("DDNNLL",MOD($A31-1+'Calibración de turnos'!$D$19,6)+1,1),IF('Calibración de turnos'!$B$19="T2",IF(MOD($A31-1,7)+1&lt;=5,IF(MOD(INT(($A31-1)/7)+'Calibración de turnos'!$D$19,2)=0,"M2","T2"),"L"),IF(MOD($A31-1,7)+1&lt;=5,IF('Calibración de turnos'!$E$19=13,"M3b","M3a"),"L")))</f>
        <v>L</v>
      </c>
      <c r="Q31" s="63" t="str">
        <f aca="false">IF('Calibración de turnos'!$B$20="T1",MID("DDNNLL",MOD($A31-1+'Calibración de turnos'!$D$20,6)+1,1),IF('Calibración de turnos'!$B$20="T2",IF(MOD($A31-1,7)+1&lt;=5,IF(MOD(INT(($A31-1)/7)+'Calibración de turnos'!$D$20,2)=0,"M2","T2"),"L"),IF(MOD($A31-1,7)+1&lt;=5,IF('Calibración de turnos'!$E$20=13,"M3b","M3a"),"L")))</f>
        <v>L</v>
      </c>
      <c r="R31" s="63" t="str">
        <f aca="false">IF('Calibración de turnos'!$B$21="T1",MID("DDNNLL",MOD($A31-1+'Calibración de turnos'!$D$21,6)+1,1),IF('Calibración de turnos'!$B$21="T2",IF(MOD($A31-1,7)+1&lt;=5,IF(MOD(INT(($A31-1)/7)+'Calibración de turnos'!$D$21,2)=0,"M2","T2"),"L"),IF(MOD($A31-1,7)+1&lt;=5,IF('Calibración de turnos'!$E$21=13,"M3b","M3a"),"L")))</f>
        <v>L</v>
      </c>
      <c r="S31" s="63" t="str">
        <f aca="false">IF('Calibración de turnos'!$B$22="T1",MID("DDNNLL",MOD($A31-1+'Calibración de turnos'!$D$22,6)+1,1),IF('Calibración de turnos'!$B$22="T2",IF(MOD($A31-1,7)+1&lt;=5,IF(MOD(INT(($A31-1)/7)+'Calibración de turnos'!$D$22,2)=0,"M2","T2"),"L"),IF(MOD($A31-1,7)+1&lt;=5,IF('Calibración de turnos'!$E$22=13,"M3b","M3a"),"L")))</f>
        <v>L</v>
      </c>
      <c r="T31" s="63" t="str">
        <f aca="false">IF('Calibración de turnos'!$B$23="T1",MID("DDNNLL",MOD($A31-1+'Calibración de turnos'!$D$23,6)+1,1),IF('Calibración de turnos'!$B$23="T2",IF(MOD($A31-1,7)+1&lt;=5,IF(MOD(INT(($A31-1)/7)+'Calibración de turnos'!$D$23,2)=0,"M2","T2"),"L"),IF(MOD($A31-1,7)+1&lt;=5,IF('Calibración de turnos'!$E$23=13,"M3b","M3a"),"L")))</f>
        <v>L</v>
      </c>
      <c r="U31" s="63" t="str">
        <f aca="false">IF('Calibración de turnos'!$B$24="T1",MID("DDNNLL",MOD($A31-1+'Calibración de turnos'!$D$24,6)+1,1),IF('Calibración de turnos'!$B$24="T2",IF(MOD($A31-1,7)+1&lt;=5,IF(MOD(INT(($A31-1)/7)+'Calibración de turnos'!$D$24,2)=0,"M2","T2"),"L"),IF(MOD($A31-1,7)+1&lt;=5,IF('Calibración de turnos'!$E$24=13,"M3b","M3a"),"L")))</f>
        <v>L</v>
      </c>
      <c r="V31" s="63" t="str">
        <f aca="false">IF('Calibración de turnos'!$B$25="T1",MID("DDNNLL",MOD($A31-1+'Calibración de turnos'!$D$25,6)+1,1),IF('Calibración de turnos'!$B$25="T2",IF(MOD($A31-1,7)+1&lt;=5,IF(MOD(INT(($A31-1)/7)+'Calibración de turnos'!$D$25,2)=0,"M2","T2"),"L"),IF(MOD($A31-1,7)+1&lt;=5,IF('Calibración de turnos'!$E$25=13,"M3b","M3a"),"L")))</f>
        <v>L</v>
      </c>
    </row>
    <row r="32" customFormat="false" ht="15" hidden="false" customHeight="false" outlineLevel="0" collapsed="false">
      <c r="A32" s="18" t="n">
        <v>28</v>
      </c>
      <c r="B32" s="18" t="str">
        <f aca="false">CHOOSE(MOD(A32-1,7)+1,"lunes","martes","miércoles","jueves","viernes","sábado","domingo")</f>
        <v>domingo</v>
      </c>
      <c r="C32" s="63" t="str">
        <f aca="false">IF('Calibración de turnos'!$B$6="T1",MID("DDNNLL",MOD($A32-1+'Calibración de turnos'!$D$6,6)+1,1),IF('Calibración de turnos'!$B$6="T2",IF(MOD($A32-1,7)+1&lt;=5,IF(MOD(INT(($A32-1)/7)+'Calibración de turnos'!$D$6,2)=0,"M2","T2"),"L"),IF(MOD($A32-1,7)+1&lt;=5,IF('Calibración de turnos'!$E$6=13,"M3b","M3a"),"L")))</f>
        <v>N</v>
      </c>
      <c r="D32" s="63" t="str">
        <f aca="false">IF('Calibración de turnos'!$B$7="T1",MID("DDNNLL",MOD($A32-1+'Calibración de turnos'!$D$7,6)+1,1),IF('Calibración de turnos'!$B$7="T2",IF(MOD($A32-1,7)+1&lt;=5,IF(MOD(INT(($A32-1)/7)+'Calibración de turnos'!$D$7,2)=0,"M2","T2"),"L"),IF(MOD($A32-1,7)+1&lt;=5,IF('Calibración de turnos'!$E$7=13,"M3b","M3a"),"L")))</f>
        <v>L</v>
      </c>
      <c r="E32" s="63" t="str">
        <f aca="false">IF('Calibración de turnos'!$B$8="T1",MID("DDNNLL",MOD($A32-1+'Calibración de turnos'!$D$8,6)+1,1),IF('Calibración de turnos'!$B$8="T2",IF(MOD($A32-1,7)+1&lt;=5,IF(MOD(INT(($A32-1)/7)+'Calibración de turnos'!$D$8,2)=0,"M2","T2"),"L"),IF(MOD($A32-1,7)+1&lt;=5,IF('Calibración de turnos'!$E$8=13,"M3b","M3a"),"L")))</f>
        <v>N</v>
      </c>
      <c r="F32" s="63" t="str">
        <f aca="false">IF('Calibración de turnos'!$B$9="T1",MID("DDNNLL",MOD($A32-1+'Calibración de turnos'!$D$9,6)+1,1),IF('Calibración de turnos'!$B$9="T2",IF(MOD($A32-1,7)+1&lt;=5,IF(MOD(INT(($A32-1)/7)+'Calibración de turnos'!$D$9,2)=0,"M2","T2"),"L"),IF(MOD($A32-1,7)+1&lt;=5,IF('Calibración de turnos'!$E$9=13,"M3b","M3a"),"L")))</f>
        <v>L</v>
      </c>
      <c r="G32" s="63" t="str">
        <f aca="false">IF('Calibración de turnos'!$B$10="T1",MID("DDNNLL",MOD($A32-1+'Calibración de turnos'!$D$10,6)+1,1),IF('Calibración de turnos'!$B$10="T2",IF(MOD($A32-1,7)+1&lt;=5,IF(MOD(INT(($A32-1)/7)+'Calibración de turnos'!$D$10,2)=0,"M2","T2"),"L"),IF(MOD($A32-1,7)+1&lt;=5,IF('Calibración de turnos'!$E$10=13,"M3b","M3a"),"L")))</f>
        <v>D</v>
      </c>
      <c r="H32" s="63" t="str">
        <f aca="false">IF('Calibración de turnos'!$B$11="T1",MID("DDNNLL",MOD($A32-1+'Calibración de turnos'!$D$11,6)+1,1),IF('Calibración de turnos'!$B$11="T2",IF(MOD($A32-1,7)+1&lt;=5,IF(MOD(INT(($A32-1)/7)+'Calibración de turnos'!$D$11,2)=0,"M2","T2"),"L"),IF(MOD($A32-1,7)+1&lt;=5,IF('Calibración de turnos'!$E$11=13,"M3b","M3a"),"L")))</f>
        <v>D</v>
      </c>
      <c r="I32" s="63" t="str">
        <f aca="false">IF('Calibración de turnos'!$B$12="T1",MID("DDNNLL",MOD($A32-1+'Calibración de turnos'!$D$12,6)+1,1),IF('Calibración de turnos'!$B$12="T2",IF(MOD($A32-1,7)+1&lt;=5,IF(MOD(INT(($A32-1)/7)+'Calibración de turnos'!$D$12,2)=0,"M2","T2"),"L"),IF(MOD($A32-1,7)+1&lt;=5,IF('Calibración de turnos'!$E$12=13,"M3b","M3a"),"L")))</f>
        <v>L</v>
      </c>
      <c r="J32" s="63" t="str">
        <f aca="false">IF('Calibración de turnos'!$B$13="T1",MID("DDNNLL",MOD($A32-1+'Calibración de turnos'!$D$13,6)+1,1),IF('Calibración de turnos'!$B$13="T2",IF(MOD($A32-1,7)+1&lt;=5,IF(MOD(INT(($A32-1)/7)+'Calibración de turnos'!$D$13,2)=0,"M2","T2"),"L"),IF(MOD($A32-1,7)+1&lt;=5,IF('Calibración de turnos'!$E$13=13,"M3b","M3a"),"L")))</f>
        <v>L</v>
      </c>
      <c r="K32" s="63" t="str">
        <f aca="false">IF('Calibración de turnos'!$B$14="T1",MID("DDNNLL",MOD($A32-1+'Calibración de turnos'!$D$14,6)+1,1),IF('Calibración de turnos'!$B$14="T2",IF(MOD($A32-1,7)+1&lt;=5,IF(MOD(INT(($A32-1)/7)+'Calibración de turnos'!$D$14,2)=0,"M2","T2"),"L"),IF(MOD($A32-1,7)+1&lt;=5,IF('Calibración de turnos'!$E$14=13,"M3b","M3a"),"L")))</f>
        <v>L</v>
      </c>
      <c r="L32" s="63" t="str">
        <f aca="false">IF('Calibración de turnos'!$B$15="T1",MID("DDNNLL",MOD($A32-1+'Calibración de turnos'!$D$15,6)+1,1),IF('Calibración de turnos'!$B$15="T2",IF(MOD($A32-1,7)+1&lt;=5,IF(MOD(INT(($A32-1)/7)+'Calibración de turnos'!$D$15,2)=0,"M2","T2"),"L"),IF(MOD($A32-1,7)+1&lt;=5,IF('Calibración de turnos'!$E$15=13,"M3b","M3a"),"L")))</f>
        <v>L</v>
      </c>
      <c r="M32" s="63" t="str">
        <f aca="false">IF('Calibración de turnos'!$B$16="T1",MID("DDNNLL",MOD($A32-1+'Calibración de turnos'!$D$16,6)+1,1),IF('Calibración de turnos'!$B$16="T2",IF(MOD($A32-1,7)+1&lt;=5,IF(MOD(INT(($A32-1)/7)+'Calibración de turnos'!$D$16,2)=0,"M2","T2"),"L"),IF(MOD($A32-1,7)+1&lt;=5,IF('Calibración de turnos'!$E$16=13,"M3b","M3a"),"L")))</f>
        <v>L</v>
      </c>
      <c r="N32" s="63" t="str">
        <f aca="false">IF('Calibración de turnos'!$B$17="T1",MID("DDNNLL",MOD($A32-1+'Calibración de turnos'!$D$17,6)+1,1),IF('Calibración de turnos'!$B$17="T2",IF(MOD($A32-1,7)+1&lt;=5,IF(MOD(INT(($A32-1)/7)+'Calibración de turnos'!$D$17,2)=0,"M2","T2"),"L"),IF(MOD($A32-1,7)+1&lt;=5,IF('Calibración de turnos'!$E$17=13,"M3b","M3a"),"L")))</f>
        <v>L</v>
      </c>
      <c r="O32" s="63" t="str">
        <f aca="false">IF('Calibración de turnos'!$B$18="T1",MID("DDNNLL",MOD($A32-1+'Calibración de turnos'!$D$18,6)+1,1),IF('Calibración de turnos'!$B$18="T2",IF(MOD($A32-1,7)+1&lt;=5,IF(MOD(INT(($A32-1)/7)+'Calibración de turnos'!$D$18,2)=0,"M2","T2"),"L"),IF(MOD($A32-1,7)+1&lt;=5,IF('Calibración de turnos'!$E$18=13,"M3b","M3a"),"L")))</f>
        <v>L</v>
      </c>
      <c r="P32" s="63" t="str">
        <f aca="false">IF('Calibración de turnos'!$B$19="T1",MID("DDNNLL",MOD($A32-1+'Calibración de turnos'!$D$19,6)+1,1),IF('Calibración de turnos'!$B$19="T2",IF(MOD($A32-1,7)+1&lt;=5,IF(MOD(INT(($A32-1)/7)+'Calibración de turnos'!$D$19,2)=0,"M2","T2"),"L"),IF(MOD($A32-1,7)+1&lt;=5,IF('Calibración de turnos'!$E$19=13,"M3b","M3a"),"L")))</f>
        <v>L</v>
      </c>
      <c r="Q32" s="63" t="str">
        <f aca="false">IF('Calibración de turnos'!$B$20="T1",MID("DDNNLL",MOD($A32-1+'Calibración de turnos'!$D$20,6)+1,1),IF('Calibración de turnos'!$B$20="T2",IF(MOD($A32-1,7)+1&lt;=5,IF(MOD(INT(($A32-1)/7)+'Calibración de turnos'!$D$20,2)=0,"M2","T2"),"L"),IF(MOD($A32-1,7)+1&lt;=5,IF('Calibración de turnos'!$E$20=13,"M3b","M3a"),"L")))</f>
        <v>L</v>
      </c>
      <c r="R32" s="63" t="str">
        <f aca="false">IF('Calibración de turnos'!$B$21="T1",MID("DDNNLL",MOD($A32-1+'Calibración de turnos'!$D$21,6)+1,1),IF('Calibración de turnos'!$B$21="T2",IF(MOD($A32-1,7)+1&lt;=5,IF(MOD(INT(($A32-1)/7)+'Calibración de turnos'!$D$21,2)=0,"M2","T2"),"L"),IF(MOD($A32-1,7)+1&lt;=5,IF('Calibración de turnos'!$E$21=13,"M3b","M3a"),"L")))</f>
        <v>L</v>
      </c>
      <c r="S32" s="63" t="str">
        <f aca="false">IF('Calibración de turnos'!$B$22="T1",MID("DDNNLL",MOD($A32-1+'Calibración de turnos'!$D$22,6)+1,1),IF('Calibración de turnos'!$B$22="T2",IF(MOD($A32-1,7)+1&lt;=5,IF(MOD(INT(($A32-1)/7)+'Calibración de turnos'!$D$22,2)=0,"M2","T2"),"L"),IF(MOD($A32-1,7)+1&lt;=5,IF('Calibración de turnos'!$E$22=13,"M3b","M3a"),"L")))</f>
        <v>L</v>
      </c>
      <c r="T32" s="63" t="str">
        <f aca="false">IF('Calibración de turnos'!$B$23="T1",MID("DDNNLL",MOD($A32-1+'Calibración de turnos'!$D$23,6)+1,1),IF('Calibración de turnos'!$B$23="T2",IF(MOD($A32-1,7)+1&lt;=5,IF(MOD(INT(($A32-1)/7)+'Calibración de turnos'!$D$23,2)=0,"M2","T2"),"L"),IF(MOD($A32-1,7)+1&lt;=5,IF('Calibración de turnos'!$E$23=13,"M3b","M3a"),"L")))</f>
        <v>L</v>
      </c>
      <c r="U32" s="63" t="str">
        <f aca="false">IF('Calibración de turnos'!$B$24="T1",MID("DDNNLL",MOD($A32-1+'Calibración de turnos'!$D$24,6)+1,1),IF('Calibración de turnos'!$B$24="T2",IF(MOD($A32-1,7)+1&lt;=5,IF(MOD(INT(($A32-1)/7)+'Calibración de turnos'!$D$24,2)=0,"M2","T2"),"L"),IF(MOD($A32-1,7)+1&lt;=5,IF('Calibración de turnos'!$E$24=13,"M3b","M3a"),"L")))</f>
        <v>L</v>
      </c>
      <c r="V32" s="63" t="str">
        <f aca="false">IF('Calibración de turnos'!$B$25="T1",MID("DDNNLL",MOD($A32-1+'Calibración de turnos'!$D$25,6)+1,1),IF('Calibración de turnos'!$B$25="T2",IF(MOD($A32-1,7)+1&lt;=5,IF(MOD(INT(($A32-1)/7)+'Calibración de turnos'!$D$25,2)=0,"M2","T2"),"L"),IF(MOD($A32-1,7)+1&lt;=5,IF('Calibración de turnos'!$E$25=13,"M3b","M3a"),"L")))</f>
        <v>L</v>
      </c>
    </row>
    <row r="33" customFormat="false" ht="15" hidden="false" customHeight="false" outlineLevel="0" collapsed="false">
      <c r="A33" s="18" t="n">
        <v>29</v>
      </c>
      <c r="B33" s="18" t="str">
        <f aca="false">CHOOSE(MOD(A33-1,7)+1,"lunes","martes","miércoles","jueves","viernes","sábado","domingo")</f>
        <v>lunes</v>
      </c>
      <c r="C33" s="63" t="str">
        <f aca="false">IF('Calibración de turnos'!$B$6="T1",MID("DDNNLL",MOD($A33-1+'Calibración de turnos'!$D$6,6)+1,1),IF('Calibración de turnos'!$B$6="T2",IF(MOD($A33-1,7)+1&lt;=5,IF(MOD(INT(($A33-1)/7)+'Calibración de turnos'!$D$6,2)=0,"M2","T2"),"L"),IF(MOD($A33-1,7)+1&lt;=5,IF('Calibración de turnos'!$E$6=13,"M3b","M3a"),"L")))</f>
        <v>L</v>
      </c>
      <c r="D33" s="63" t="str">
        <f aca="false">IF('Calibración de turnos'!$B$7="T1",MID("DDNNLL",MOD($A33-1+'Calibración de turnos'!$D$7,6)+1,1),IF('Calibración de turnos'!$B$7="T2",IF(MOD($A33-1,7)+1&lt;=5,IF(MOD(INT(($A33-1)/7)+'Calibración de turnos'!$D$7,2)=0,"M2","T2"),"L"),IF(MOD($A33-1,7)+1&lt;=5,IF('Calibración de turnos'!$E$7=13,"M3b","M3a"),"L")))</f>
        <v>D</v>
      </c>
      <c r="E33" s="63" t="str">
        <f aca="false">IF('Calibración de turnos'!$B$8="T1",MID("DDNNLL",MOD($A33-1+'Calibración de turnos'!$D$8,6)+1,1),IF('Calibración de turnos'!$B$8="T2",IF(MOD($A33-1,7)+1&lt;=5,IF(MOD(INT(($A33-1)/7)+'Calibración de turnos'!$D$8,2)=0,"M2","T2"),"L"),IF(MOD($A33-1,7)+1&lt;=5,IF('Calibración de turnos'!$E$8=13,"M3b","M3a"),"L")))</f>
        <v>L</v>
      </c>
      <c r="F33" s="63" t="str">
        <f aca="false">IF('Calibración de turnos'!$B$9="T1",MID("DDNNLL",MOD($A33-1+'Calibración de turnos'!$D$9,6)+1,1),IF('Calibración de turnos'!$B$9="T2",IF(MOD($A33-1,7)+1&lt;=5,IF(MOD(INT(($A33-1)/7)+'Calibración de turnos'!$D$9,2)=0,"M2","T2"),"L"),IF(MOD($A33-1,7)+1&lt;=5,IF('Calibración de turnos'!$E$9=13,"M3b","M3a"),"L")))</f>
        <v>D</v>
      </c>
      <c r="G33" s="63" t="str">
        <f aca="false">IF('Calibración de turnos'!$B$10="T1",MID("DDNNLL",MOD($A33-1+'Calibración de turnos'!$D$10,6)+1,1),IF('Calibración de turnos'!$B$10="T2",IF(MOD($A33-1,7)+1&lt;=5,IF(MOD(INT(($A33-1)/7)+'Calibración de turnos'!$D$10,2)=0,"M2","T2"),"L"),IF(MOD($A33-1,7)+1&lt;=5,IF('Calibración de turnos'!$E$10=13,"M3b","M3a"),"L")))</f>
        <v>N</v>
      </c>
      <c r="H33" s="63" t="str">
        <f aca="false">IF('Calibración de turnos'!$B$11="T1",MID("DDNNLL",MOD($A33-1+'Calibración de turnos'!$D$11,6)+1,1),IF('Calibración de turnos'!$B$11="T2",IF(MOD($A33-1,7)+1&lt;=5,IF(MOD(INT(($A33-1)/7)+'Calibración de turnos'!$D$11,2)=0,"M2","T2"),"L"),IF(MOD($A33-1,7)+1&lt;=5,IF('Calibración de turnos'!$E$11=13,"M3b","M3a"),"L")))</f>
        <v>N</v>
      </c>
      <c r="I33" s="63" t="str">
        <f aca="false">IF('Calibración de turnos'!$B$12="T1",MID("DDNNLL",MOD($A33-1+'Calibración de turnos'!$D$12,6)+1,1),IF('Calibración de turnos'!$B$12="T2",IF(MOD($A33-1,7)+1&lt;=5,IF(MOD(INT(($A33-1)/7)+'Calibración de turnos'!$D$12,2)=0,"M2","T2"),"L"),IF(MOD($A33-1,7)+1&lt;=5,IF('Calibración de turnos'!$E$12=13,"M3b","M3a"),"L")))</f>
        <v>M2</v>
      </c>
      <c r="J33" s="63" t="str">
        <f aca="false">IF('Calibración de turnos'!$B$13="T1",MID("DDNNLL",MOD($A33-1+'Calibración de turnos'!$D$13,6)+1,1),IF('Calibración de turnos'!$B$13="T2",IF(MOD($A33-1,7)+1&lt;=5,IF(MOD(INT(($A33-1)/7)+'Calibración de turnos'!$D$13,2)=0,"M2","T2"),"L"),IF(MOD($A33-1,7)+1&lt;=5,IF('Calibración de turnos'!$E$13=13,"M3b","M3a"),"L")))</f>
        <v>T2</v>
      </c>
      <c r="K33" s="63" t="str">
        <f aca="false">IF('Calibración de turnos'!$B$14="T1",MID("DDNNLL",MOD($A33-1+'Calibración de turnos'!$D$14,6)+1,1),IF('Calibración de turnos'!$B$14="T2",IF(MOD($A33-1,7)+1&lt;=5,IF(MOD(INT(($A33-1)/7)+'Calibración de turnos'!$D$14,2)=0,"M2","T2"),"L"),IF(MOD($A33-1,7)+1&lt;=5,IF('Calibración de turnos'!$E$14=13,"M3b","M3a"),"L")))</f>
        <v>M2</v>
      </c>
      <c r="L33" s="63" t="str">
        <f aca="false">IF('Calibración de turnos'!$B$15="T1",MID("DDNNLL",MOD($A33-1+'Calibración de turnos'!$D$15,6)+1,1),IF('Calibración de turnos'!$B$15="T2",IF(MOD($A33-1,7)+1&lt;=5,IF(MOD(INT(($A33-1)/7)+'Calibración de turnos'!$D$15,2)=0,"M2","T2"),"L"),IF(MOD($A33-1,7)+1&lt;=5,IF('Calibración de turnos'!$E$15=13,"M3b","M3a"),"L")))</f>
        <v>T2</v>
      </c>
      <c r="M33" s="63" t="str">
        <f aca="false">IF('Calibración de turnos'!$B$16="T1",MID("DDNNLL",MOD($A33-1+'Calibración de turnos'!$D$16,6)+1,1),IF('Calibración de turnos'!$B$16="T2",IF(MOD($A33-1,7)+1&lt;=5,IF(MOD(INT(($A33-1)/7)+'Calibración de turnos'!$D$16,2)=0,"M2","T2"),"L"),IF(MOD($A33-1,7)+1&lt;=5,IF('Calibración de turnos'!$E$16=13,"M3b","M3a"),"L")))</f>
        <v>M3a</v>
      </c>
      <c r="N33" s="63" t="str">
        <f aca="false">IF('Calibración de turnos'!$B$17="T1",MID("DDNNLL",MOD($A33-1+'Calibración de turnos'!$D$17,6)+1,1),IF('Calibración de turnos'!$B$17="T2",IF(MOD($A33-1,7)+1&lt;=5,IF(MOD(INT(($A33-1)/7)+'Calibración de turnos'!$D$17,2)=0,"M2","T2"),"L"),IF(MOD($A33-1,7)+1&lt;=5,IF('Calibración de turnos'!$E$17=13,"M3b","M3a"),"L")))</f>
        <v>M3a</v>
      </c>
      <c r="O33" s="63" t="str">
        <f aca="false">IF('Calibración de turnos'!$B$18="T1",MID("DDNNLL",MOD($A33-1+'Calibración de turnos'!$D$18,6)+1,1),IF('Calibración de turnos'!$B$18="T2",IF(MOD($A33-1,7)+1&lt;=5,IF(MOD(INT(($A33-1)/7)+'Calibración de turnos'!$D$18,2)=0,"M2","T2"),"L"),IF(MOD($A33-1,7)+1&lt;=5,IF('Calibración de turnos'!$E$18=13,"M3b","M3a"),"L")))</f>
        <v>M3b</v>
      </c>
      <c r="P33" s="63" t="str">
        <f aca="false">IF('Calibración de turnos'!$B$19="T1",MID("DDNNLL",MOD($A33-1+'Calibración de turnos'!$D$19,6)+1,1),IF('Calibración de turnos'!$B$19="T2",IF(MOD($A33-1,7)+1&lt;=5,IF(MOD(INT(($A33-1)/7)+'Calibración de turnos'!$D$19,2)=0,"M2","T2"),"L"),IF(MOD($A33-1,7)+1&lt;=5,IF('Calibración de turnos'!$E$19=13,"M3b","M3a"),"L")))</f>
        <v>M3a</v>
      </c>
      <c r="Q33" s="63" t="str">
        <f aca="false">IF('Calibración de turnos'!$B$20="T1",MID("DDNNLL",MOD($A33-1+'Calibración de turnos'!$D$20,6)+1,1),IF('Calibración de turnos'!$B$20="T2",IF(MOD($A33-1,7)+1&lt;=5,IF(MOD(INT(($A33-1)/7)+'Calibración de turnos'!$D$20,2)=0,"M2","T2"),"L"),IF(MOD($A33-1,7)+1&lt;=5,IF('Calibración de turnos'!$E$20=13,"M3b","M3a"),"L")))</f>
        <v>M3b</v>
      </c>
      <c r="R33" s="63" t="str">
        <f aca="false">IF('Calibración de turnos'!$B$21="T1",MID("DDNNLL",MOD($A33-1+'Calibración de turnos'!$D$21,6)+1,1),IF('Calibración de turnos'!$B$21="T2",IF(MOD($A33-1,7)+1&lt;=5,IF(MOD(INT(($A33-1)/7)+'Calibración de turnos'!$D$21,2)=0,"M2","T2"),"L"),IF(MOD($A33-1,7)+1&lt;=5,IF('Calibración de turnos'!$E$21=13,"M3b","M3a"),"L")))</f>
        <v>M3b</v>
      </c>
      <c r="S33" s="63" t="str">
        <f aca="false">IF('Calibración de turnos'!$B$22="T1",MID("DDNNLL",MOD($A33-1+'Calibración de turnos'!$D$22,6)+1,1),IF('Calibración de turnos'!$B$22="T2",IF(MOD($A33-1,7)+1&lt;=5,IF(MOD(INT(($A33-1)/7)+'Calibración de turnos'!$D$22,2)=0,"M2","T2"),"L"),IF(MOD($A33-1,7)+1&lt;=5,IF('Calibración de turnos'!$E$22=13,"M3b","M3a"),"L")))</f>
        <v>M3a</v>
      </c>
      <c r="T33" s="63" t="str">
        <f aca="false">IF('Calibración de turnos'!$B$23="T1",MID("DDNNLL",MOD($A33-1+'Calibración de turnos'!$D$23,6)+1,1),IF('Calibración de turnos'!$B$23="T2",IF(MOD($A33-1,7)+1&lt;=5,IF(MOD(INT(($A33-1)/7)+'Calibración de turnos'!$D$23,2)=0,"M2","T2"),"L"),IF(MOD($A33-1,7)+1&lt;=5,IF('Calibración de turnos'!$E$23=13,"M3b","M3a"),"L")))</f>
        <v>M3b</v>
      </c>
      <c r="U33" s="63" t="str">
        <f aca="false">IF('Calibración de turnos'!$B$24="T1",MID("DDNNLL",MOD($A33-1+'Calibración de turnos'!$D$24,6)+1,1),IF('Calibración de turnos'!$B$24="T2",IF(MOD($A33-1,7)+1&lt;=5,IF(MOD(INT(($A33-1)/7)+'Calibración de turnos'!$D$24,2)=0,"M2","T2"),"L"),IF(MOD($A33-1,7)+1&lt;=5,IF('Calibración de turnos'!$E$24=13,"M3b","M3a"),"L")))</f>
        <v>M3a</v>
      </c>
      <c r="V33" s="63" t="str">
        <f aca="false">IF('Calibración de turnos'!$B$25="T1",MID("DDNNLL",MOD($A33-1+'Calibración de turnos'!$D$25,6)+1,1),IF('Calibración de turnos'!$B$25="T2",IF(MOD($A33-1,7)+1&lt;=5,IF(MOD(INT(($A33-1)/7)+'Calibración de turnos'!$D$25,2)=0,"M2","T2"),"L"),IF(MOD($A33-1,7)+1&lt;=5,IF('Calibración de turnos'!$E$25=13,"M3b","M3a"),"L")))</f>
        <v>M3b</v>
      </c>
    </row>
    <row r="34" customFormat="false" ht="15" hidden="false" customHeight="false" outlineLevel="0" collapsed="false">
      <c r="A34" s="18" t="n">
        <v>30</v>
      </c>
      <c r="B34" s="18" t="str">
        <f aca="false">CHOOSE(MOD(A34-1,7)+1,"lunes","martes","miércoles","jueves","viernes","sábado","domingo")</f>
        <v>martes</v>
      </c>
      <c r="C34" s="63" t="str">
        <f aca="false">IF('Calibración de turnos'!$B$6="T1",MID("DDNNLL",MOD($A34-1+'Calibración de turnos'!$D$6,6)+1,1),IF('Calibración de turnos'!$B$6="T2",IF(MOD($A34-1,7)+1&lt;=5,IF(MOD(INT(($A34-1)/7)+'Calibración de turnos'!$D$6,2)=0,"M2","T2"),"L"),IF(MOD($A34-1,7)+1&lt;=5,IF('Calibración de turnos'!$E$6=13,"M3b","M3a"),"L")))</f>
        <v>L</v>
      </c>
      <c r="D34" s="63" t="str">
        <f aca="false">IF('Calibración de turnos'!$B$7="T1",MID("DDNNLL",MOD($A34-1+'Calibración de turnos'!$D$7,6)+1,1),IF('Calibración de turnos'!$B$7="T2",IF(MOD($A34-1,7)+1&lt;=5,IF(MOD(INT(($A34-1)/7)+'Calibración de turnos'!$D$7,2)=0,"M2","T2"),"L"),IF(MOD($A34-1,7)+1&lt;=5,IF('Calibración de turnos'!$E$7=13,"M3b","M3a"),"L")))</f>
        <v>D</v>
      </c>
      <c r="E34" s="63" t="str">
        <f aca="false">IF('Calibración de turnos'!$B$8="T1",MID("DDNNLL",MOD($A34-1+'Calibración de turnos'!$D$8,6)+1,1),IF('Calibración de turnos'!$B$8="T2",IF(MOD($A34-1,7)+1&lt;=5,IF(MOD(INT(($A34-1)/7)+'Calibración de turnos'!$D$8,2)=0,"M2","T2"),"L"),IF(MOD($A34-1,7)+1&lt;=5,IF('Calibración de turnos'!$E$8=13,"M3b","M3a"),"L")))</f>
        <v>L</v>
      </c>
      <c r="F34" s="63" t="str">
        <f aca="false">IF('Calibración de turnos'!$B$9="T1",MID("DDNNLL",MOD($A34-1+'Calibración de turnos'!$D$9,6)+1,1),IF('Calibración de turnos'!$B$9="T2",IF(MOD($A34-1,7)+1&lt;=5,IF(MOD(INT(($A34-1)/7)+'Calibración de turnos'!$D$9,2)=0,"M2","T2"),"L"),IF(MOD($A34-1,7)+1&lt;=5,IF('Calibración de turnos'!$E$9=13,"M3b","M3a"),"L")))</f>
        <v>D</v>
      </c>
      <c r="G34" s="63" t="str">
        <f aca="false">IF('Calibración de turnos'!$B$10="T1",MID("DDNNLL",MOD($A34-1+'Calibración de turnos'!$D$10,6)+1,1),IF('Calibración de turnos'!$B$10="T2",IF(MOD($A34-1,7)+1&lt;=5,IF(MOD(INT(($A34-1)/7)+'Calibración de turnos'!$D$10,2)=0,"M2","T2"),"L"),IF(MOD($A34-1,7)+1&lt;=5,IF('Calibración de turnos'!$E$10=13,"M3b","M3a"),"L")))</f>
        <v>N</v>
      </c>
      <c r="H34" s="63" t="str">
        <f aca="false">IF('Calibración de turnos'!$B$11="T1",MID("DDNNLL",MOD($A34-1+'Calibración de turnos'!$D$11,6)+1,1),IF('Calibración de turnos'!$B$11="T2",IF(MOD($A34-1,7)+1&lt;=5,IF(MOD(INT(($A34-1)/7)+'Calibración de turnos'!$D$11,2)=0,"M2","T2"),"L"),IF(MOD($A34-1,7)+1&lt;=5,IF('Calibración de turnos'!$E$11=13,"M3b","M3a"),"L")))</f>
        <v>N</v>
      </c>
      <c r="I34" s="63" t="str">
        <f aca="false">IF('Calibración de turnos'!$B$12="T1",MID("DDNNLL",MOD($A34-1+'Calibración de turnos'!$D$12,6)+1,1),IF('Calibración de turnos'!$B$12="T2",IF(MOD($A34-1,7)+1&lt;=5,IF(MOD(INT(($A34-1)/7)+'Calibración de turnos'!$D$12,2)=0,"M2","T2"),"L"),IF(MOD($A34-1,7)+1&lt;=5,IF('Calibración de turnos'!$E$12=13,"M3b","M3a"),"L")))</f>
        <v>M2</v>
      </c>
      <c r="J34" s="63" t="str">
        <f aca="false">IF('Calibración de turnos'!$B$13="T1",MID("DDNNLL",MOD($A34-1+'Calibración de turnos'!$D$13,6)+1,1),IF('Calibración de turnos'!$B$13="T2",IF(MOD($A34-1,7)+1&lt;=5,IF(MOD(INT(($A34-1)/7)+'Calibración de turnos'!$D$13,2)=0,"M2","T2"),"L"),IF(MOD($A34-1,7)+1&lt;=5,IF('Calibración de turnos'!$E$13=13,"M3b","M3a"),"L")))</f>
        <v>T2</v>
      </c>
      <c r="K34" s="63" t="str">
        <f aca="false">IF('Calibración de turnos'!$B$14="T1",MID("DDNNLL",MOD($A34-1+'Calibración de turnos'!$D$14,6)+1,1),IF('Calibración de turnos'!$B$14="T2",IF(MOD($A34-1,7)+1&lt;=5,IF(MOD(INT(($A34-1)/7)+'Calibración de turnos'!$D$14,2)=0,"M2","T2"),"L"),IF(MOD($A34-1,7)+1&lt;=5,IF('Calibración de turnos'!$E$14=13,"M3b","M3a"),"L")))</f>
        <v>M2</v>
      </c>
      <c r="L34" s="63" t="str">
        <f aca="false">IF('Calibración de turnos'!$B$15="T1",MID("DDNNLL",MOD($A34-1+'Calibración de turnos'!$D$15,6)+1,1),IF('Calibración de turnos'!$B$15="T2",IF(MOD($A34-1,7)+1&lt;=5,IF(MOD(INT(($A34-1)/7)+'Calibración de turnos'!$D$15,2)=0,"M2","T2"),"L"),IF(MOD($A34-1,7)+1&lt;=5,IF('Calibración de turnos'!$E$15=13,"M3b","M3a"),"L")))</f>
        <v>T2</v>
      </c>
      <c r="M34" s="63" t="str">
        <f aca="false">IF('Calibración de turnos'!$B$16="T1",MID("DDNNLL",MOD($A34-1+'Calibración de turnos'!$D$16,6)+1,1),IF('Calibración de turnos'!$B$16="T2",IF(MOD($A34-1,7)+1&lt;=5,IF(MOD(INT(($A34-1)/7)+'Calibración de turnos'!$D$16,2)=0,"M2","T2"),"L"),IF(MOD($A34-1,7)+1&lt;=5,IF('Calibración de turnos'!$E$16=13,"M3b","M3a"),"L")))</f>
        <v>M3a</v>
      </c>
      <c r="N34" s="63" t="str">
        <f aca="false">IF('Calibración de turnos'!$B$17="T1",MID("DDNNLL",MOD($A34-1+'Calibración de turnos'!$D$17,6)+1,1),IF('Calibración de turnos'!$B$17="T2",IF(MOD($A34-1,7)+1&lt;=5,IF(MOD(INT(($A34-1)/7)+'Calibración de turnos'!$D$17,2)=0,"M2","T2"),"L"),IF(MOD($A34-1,7)+1&lt;=5,IF('Calibración de turnos'!$E$17=13,"M3b","M3a"),"L")))</f>
        <v>M3a</v>
      </c>
      <c r="O34" s="63" t="str">
        <f aca="false">IF('Calibración de turnos'!$B$18="T1",MID("DDNNLL",MOD($A34-1+'Calibración de turnos'!$D$18,6)+1,1),IF('Calibración de turnos'!$B$18="T2",IF(MOD($A34-1,7)+1&lt;=5,IF(MOD(INT(($A34-1)/7)+'Calibración de turnos'!$D$18,2)=0,"M2","T2"),"L"),IF(MOD($A34-1,7)+1&lt;=5,IF('Calibración de turnos'!$E$18=13,"M3b","M3a"),"L")))</f>
        <v>M3b</v>
      </c>
      <c r="P34" s="63" t="str">
        <f aca="false">IF('Calibración de turnos'!$B$19="T1",MID("DDNNLL",MOD($A34-1+'Calibración de turnos'!$D$19,6)+1,1),IF('Calibración de turnos'!$B$19="T2",IF(MOD($A34-1,7)+1&lt;=5,IF(MOD(INT(($A34-1)/7)+'Calibración de turnos'!$D$19,2)=0,"M2","T2"),"L"),IF(MOD($A34-1,7)+1&lt;=5,IF('Calibración de turnos'!$E$19=13,"M3b","M3a"),"L")))</f>
        <v>M3a</v>
      </c>
      <c r="Q34" s="63" t="str">
        <f aca="false">IF('Calibración de turnos'!$B$20="T1",MID("DDNNLL",MOD($A34-1+'Calibración de turnos'!$D$20,6)+1,1),IF('Calibración de turnos'!$B$20="T2",IF(MOD($A34-1,7)+1&lt;=5,IF(MOD(INT(($A34-1)/7)+'Calibración de turnos'!$D$20,2)=0,"M2","T2"),"L"),IF(MOD($A34-1,7)+1&lt;=5,IF('Calibración de turnos'!$E$20=13,"M3b","M3a"),"L")))</f>
        <v>M3b</v>
      </c>
      <c r="R34" s="63" t="str">
        <f aca="false">IF('Calibración de turnos'!$B$21="T1",MID("DDNNLL",MOD($A34-1+'Calibración de turnos'!$D$21,6)+1,1),IF('Calibración de turnos'!$B$21="T2",IF(MOD($A34-1,7)+1&lt;=5,IF(MOD(INT(($A34-1)/7)+'Calibración de turnos'!$D$21,2)=0,"M2","T2"),"L"),IF(MOD($A34-1,7)+1&lt;=5,IF('Calibración de turnos'!$E$21=13,"M3b","M3a"),"L")))</f>
        <v>M3b</v>
      </c>
      <c r="S34" s="63" t="str">
        <f aca="false">IF('Calibración de turnos'!$B$22="T1",MID("DDNNLL",MOD($A34-1+'Calibración de turnos'!$D$22,6)+1,1),IF('Calibración de turnos'!$B$22="T2",IF(MOD($A34-1,7)+1&lt;=5,IF(MOD(INT(($A34-1)/7)+'Calibración de turnos'!$D$22,2)=0,"M2","T2"),"L"),IF(MOD($A34-1,7)+1&lt;=5,IF('Calibración de turnos'!$E$22=13,"M3b","M3a"),"L")))</f>
        <v>M3a</v>
      </c>
      <c r="T34" s="63" t="str">
        <f aca="false">IF('Calibración de turnos'!$B$23="T1",MID("DDNNLL",MOD($A34-1+'Calibración de turnos'!$D$23,6)+1,1),IF('Calibración de turnos'!$B$23="T2",IF(MOD($A34-1,7)+1&lt;=5,IF(MOD(INT(($A34-1)/7)+'Calibración de turnos'!$D$23,2)=0,"M2","T2"),"L"),IF(MOD($A34-1,7)+1&lt;=5,IF('Calibración de turnos'!$E$23=13,"M3b","M3a"),"L")))</f>
        <v>M3b</v>
      </c>
      <c r="U34" s="63" t="str">
        <f aca="false">IF('Calibración de turnos'!$B$24="T1",MID("DDNNLL",MOD($A34-1+'Calibración de turnos'!$D$24,6)+1,1),IF('Calibración de turnos'!$B$24="T2",IF(MOD($A34-1,7)+1&lt;=5,IF(MOD(INT(($A34-1)/7)+'Calibración de turnos'!$D$24,2)=0,"M2","T2"),"L"),IF(MOD($A34-1,7)+1&lt;=5,IF('Calibración de turnos'!$E$24=13,"M3b","M3a"),"L")))</f>
        <v>M3a</v>
      </c>
      <c r="V34" s="63" t="str">
        <f aca="false">IF('Calibración de turnos'!$B$25="T1",MID("DDNNLL",MOD($A34-1+'Calibración de turnos'!$D$25,6)+1,1),IF('Calibración de turnos'!$B$25="T2",IF(MOD($A34-1,7)+1&lt;=5,IF(MOD(INT(($A34-1)/7)+'Calibración de turnos'!$D$25,2)=0,"M2","T2"),"L"),IF(MOD($A34-1,7)+1&lt;=5,IF('Calibración de turnos'!$E$25=13,"M3b","M3a"),"L")))</f>
        <v>M3b</v>
      </c>
    </row>
    <row r="35" customFormat="false" ht="15" hidden="false" customHeight="false" outlineLevel="0" collapsed="false">
      <c r="A35" s="18" t="n">
        <v>31</v>
      </c>
      <c r="B35" s="18" t="str">
        <f aca="false">CHOOSE(MOD(A35-1,7)+1,"lunes","martes","miércoles","jueves","viernes","sábado","domingo")</f>
        <v>miércoles</v>
      </c>
      <c r="C35" s="63" t="str">
        <f aca="false">IF('Calibración de turnos'!$B$6="T1",MID("DDNNLL",MOD($A35-1+'Calibración de turnos'!$D$6,6)+1,1),IF('Calibración de turnos'!$B$6="T2",IF(MOD($A35-1,7)+1&lt;=5,IF(MOD(INT(($A35-1)/7)+'Calibración de turnos'!$D$6,2)=0,"M2","T2"),"L"),IF(MOD($A35-1,7)+1&lt;=5,IF('Calibración de turnos'!$E$6=13,"M3b","M3a"),"L")))</f>
        <v>D</v>
      </c>
      <c r="D35" s="63" t="str">
        <f aca="false">IF('Calibración de turnos'!$B$7="T1",MID("DDNNLL",MOD($A35-1+'Calibración de turnos'!$D$7,6)+1,1),IF('Calibración de turnos'!$B$7="T2",IF(MOD($A35-1,7)+1&lt;=5,IF(MOD(INT(($A35-1)/7)+'Calibración de turnos'!$D$7,2)=0,"M2","T2"),"L"),IF(MOD($A35-1,7)+1&lt;=5,IF('Calibración de turnos'!$E$7=13,"M3b","M3a"),"L")))</f>
        <v>N</v>
      </c>
      <c r="E35" s="63" t="str">
        <f aca="false">IF('Calibración de turnos'!$B$8="T1",MID("DDNNLL",MOD($A35-1+'Calibración de turnos'!$D$8,6)+1,1),IF('Calibración de turnos'!$B$8="T2",IF(MOD($A35-1,7)+1&lt;=5,IF(MOD(INT(($A35-1)/7)+'Calibración de turnos'!$D$8,2)=0,"M2","T2"),"L"),IF(MOD($A35-1,7)+1&lt;=5,IF('Calibración de turnos'!$E$8=13,"M3b","M3a"),"L")))</f>
        <v>D</v>
      </c>
      <c r="F35" s="63" t="str">
        <f aca="false">IF('Calibración de turnos'!$B$9="T1",MID("DDNNLL",MOD($A35-1+'Calibración de turnos'!$D$9,6)+1,1),IF('Calibración de turnos'!$B$9="T2",IF(MOD($A35-1,7)+1&lt;=5,IF(MOD(INT(($A35-1)/7)+'Calibración de turnos'!$D$9,2)=0,"M2","T2"),"L"),IF(MOD($A35-1,7)+1&lt;=5,IF('Calibración de turnos'!$E$9=13,"M3b","M3a"),"L")))</f>
        <v>N</v>
      </c>
      <c r="G35" s="63" t="str">
        <f aca="false">IF('Calibración de turnos'!$B$10="T1",MID("DDNNLL",MOD($A35-1+'Calibración de turnos'!$D$10,6)+1,1),IF('Calibración de turnos'!$B$10="T2",IF(MOD($A35-1,7)+1&lt;=5,IF(MOD(INT(($A35-1)/7)+'Calibración de turnos'!$D$10,2)=0,"M2","T2"),"L"),IF(MOD($A35-1,7)+1&lt;=5,IF('Calibración de turnos'!$E$10=13,"M3b","M3a"),"L")))</f>
        <v>L</v>
      </c>
      <c r="H35" s="63" t="str">
        <f aca="false">IF('Calibración de turnos'!$B$11="T1",MID("DDNNLL",MOD($A35-1+'Calibración de turnos'!$D$11,6)+1,1),IF('Calibración de turnos'!$B$11="T2",IF(MOD($A35-1,7)+1&lt;=5,IF(MOD(INT(($A35-1)/7)+'Calibración de turnos'!$D$11,2)=0,"M2","T2"),"L"),IF(MOD($A35-1,7)+1&lt;=5,IF('Calibración de turnos'!$E$11=13,"M3b","M3a"),"L")))</f>
        <v>L</v>
      </c>
      <c r="I35" s="63" t="str">
        <f aca="false">IF('Calibración de turnos'!$B$12="T1",MID("DDNNLL",MOD($A35-1+'Calibración de turnos'!$D$12,6)+1,1),IF('Calibración de turnos'!$B$12="T2",IF(MOD($A35-1,7)+1&lt;=5,IF(MOD(INT(($A35-1)/7)+'Calibración de turnos'!$D$12,2)=0,"M2","T2"),"L"),IF(MOD($A35-1,7)+1&lt;=5,IF('Calibración de turnos'!$E$12=13,"M3b","M3a"),"L")))</f>
        <v>M2</v>
      </c>
      <c r="J35" s="63" t="str">
        <f aca="false">IF('Calibración de turnos'!$B$13="T1",MID("DDNNLL",MOD($A35-1+'Calibración de turnos'!$D$13,6)+1,1),IF('Calibración de turnos'!$B$13="T2",IF(MOD($A35-1,7)+1&lt;=5,IF(MOD(INT(($A35-1)/7)+'Calibración de turnos'!$D$13,2)=0,"M2","T2"),"L"),IF(MOD($A35-1,7)+1&lt;=5,IF('Calibración de turnos'!$E$13=13,"M3b","M3a"),"L")))</f>
        <v>T2</v>
      </c>
      <c r="K35" s="63" t="str">
        <f aca="false">IF('Calibración de turnos'!$B$14="T1",MID("DDNNLL",MOD($A35-1+'Calibración de turnos'!$D$14,6)+1,1),IF('Calibración de turnos'!$B$14="T2",IF(MOD($A35-1,7)+1&lt;=5,IF(MOD(INT(($A35-1)/7)+'Calibración de turnos'!$D$14,2)=0,"M2","T2"),"L"),IF(MOD($A35-1,7)+1&lt;=5,IF('Calibración de turnos'!$E$14=13,"M3b","M3a"),"L")))</f>
        <v>M2</v>
      </c>
      <c r="L35" s="63" t="str">
        <f aca="false">IF('Calibración de turnos'!$B$15="T1",MID("DDNNLL",MOD($A35-1+'Calibración de turnos'!$D$15,6)+1,1),IF('Calibración de turnos'!$B$15="T2",IF(MOD($A35-1,7)+1&lt;=5,IF(MOD(INT(($A35-1)/7)+'Calibración de turnos'!$D$15,2)=0,"M2","T2"),"L"),IF(MOD($A35-1,7)+1&lt;=5,IF('Calibración de turnos'!$E$15=13,"M3b","M3a"),"L")))</f>
        <v>T2</v>
      </c>
      <c r="M35" s="63" t="str">
        <f aca="false">IF('Calibración de turnos'!$B$16="T1",MID("DDNNLL",MOD($A35-1+'Calibración de turnos'!$D$16,6)+1,1),IF('Calibración de turnos'!$B$16="T2",IF(MOD($A35-1,7)+1&lt;=5,IF(MOD(INT(($A35-1)/7)+'Calibración de turnos'!$D$16,2)=0,"M2","T2"),"L"),IF(MOD($A35-1,7)+1&lt;=5,IF('Calibración de turnos'!$E$16=13,"M3b","M3a"),"L")))</f>
        <v>M3a</v>
      </c>
      <c r="N35" s="63" t="str">
        <f aca="false">IF('Calibración de turnos'!$B$17="T1",MID("DDNNLL",MOD($A35-1+'Calibración de turnos'!$D$17,6)+1,1),IF('Calibración de turnos'!$B$17="T2",IF(MOD($A35-1,7)+1&lt;=5,IF(MOD(INT(($A35-1)/7)+'Calibración de turnos'!$D$17,2)=0,"M2","T2"),"L"),IF(MOD($A35-1,7)+1&lt;=5,IF('Calibración de turnos'!$E$17=13,"M3b","M3a"),"L")))</f>
        <v>M3a</v>
      </c>
      <c r="O35" s="63" t="str">
        <f aca="false">IF('Calibración de turnos'!$B$18="T1",MID("DDNNLL",MOD($A35-1+'Calibración de turnos'!$D$18,6)+1,1),IF('Calibración de turnos'!$B$18="T2",IF(MOD($A35-1,7)+1&lt;=5,IF(MOD(INT(($A35-1)/7)+'Calibración de turnos'!$D$18,2)=0,"M2","T2"),"L"),IF(MOD($A35-1,7)+1&lt;=5,IF('Calibración de turnos'!$E$18=13,"M3b","M3a"),"L")))</f>
        <v>M3b</v>
      </c>
      <c r="P35" s="63" t="str">
        <f aca="false">IF('Calibración de turnos'!$B$19="T1",MID("DDNNLL",MOD($A35-1+'Calibración de turnos'!$D$19,6)+1,1),IF('Calibración de turnos'!$B$19="T2",IF(MOD($A35-1,7)+1&lt;=5,IF(MOD(INT(($A35-1)/7)+'Calibración de turnos'!$D$19,2)=0,"M2","T2"),"L"),IF(MOD($A35-1,7)+1&lt;=5,IF('Calibración de turnos'!$E$19=13,"M3b","M3a"),"L")))</f>
        <v>M3a</v>
      </c>
      <c r="Q35" s="63" t="str">
        <f aca="false">IF('Calibración de turnos'!$B$20="T1",MID("DDNNLL",MOD($A35-1+'Calibración de turnos'!$D$20,6)+1,1),IF('Calibración de turnos'!$B$20="T2",IF(MOD($A35-1,7)+1&lt;=5,IF(MOD(INT(($A35-1)/7)+'Calibración de turnos'!$D$20,2)=0,"M2","T2"),"L"),IF(MOD($A35-1,7)+1&lt;=5,IF('Calibración de turnos'!$E$20=13,"M3b","M3a"),"L")))</f>
        <v>M3b</v>
      </c>
      <c r="R35" s="63" t="str">
        <f aca="false">IF('Calibración de turnos'!$B$21="T1",MID("DDNNLL",MOD($A35-1+'Calibración de turnos'!$D$21,6)+1,1),IF('Calibración de turnos'!$B$21="T2",IF(MOD($A35-1,7)+1&lt;=5,IF(MOD(INT(($A35-1)/7)+'Calibración de turnos'!$D$21,2)=0,"M2","T2"),"L"),IF(MOD($A35-1,7)+1&lt;=5,IF('Calibración de turnos'!$E$21=13,"M3b","M3a"),"L")))</f>
        <v>M3b</v>
      </c>
      <c r="S35" s="63" t="str">
        <f aca="false">IF('Calibración de turnos'!$B$22="T1",MID("DDNNLL",MOD($A35-1+'Calibración de turnos'!$D$22,6)+1,1),IF('Calibración de turnos'!$B$22="T2",IF(MOD($A35-1,7)+1&lt;=5,IF(MOD(INT(($A35-1)/7)+'Calibración de turnos'!$D$22,2)=0,"M2","T2"),"L"),IF(MOD($A35-1,7)+1&lt;=5,IF('Calibración de turnos'!$E$22=13,"M3b","M3a"),"L")))</f>
        <v>M3a</v>
      </c>
      <c r="T35" s="63" t="str">
        <f aca="false">IF('Calibración de turnos'!$B$23="T1",MID("DDNNLL",MOD($A35-1+'Calibración de turnos'!$D$23,6)+1,1),IF('Calibración de turnos'!$B$23="T2",IF(MOD($A35-1,7)+1&lt;=5,IF(MOD(INT(($A35-1)/7)+'Calibración de turnos'!$D$23,2)=0,"M2","T2"),"L"),IF(MOD($A35-1,7)+1&lt;=5,IF('Calibración de turnos'!$E$23=13,"M3b","M3a"),"L")))</f>
        <v>M3b</v>
      </c>
      <c r="U35" s="63" t="str">
        <f aca="false">IF('Calibración de turnos'!$B$24="T1",MID("DDNNLL",MOD($A35-1+'Calibración de turnos'!$D$24,6)+1,1),IF('Calibración de turnos'!$B$24="T2",IF(MOD($A35-1,7)+1&lt;=5,IF(MOD(INT(($A35-1)/7)+'Calibración de turnos'!$D$24,2)=0,"M2","T2"),"L"),IF(MOD($A35-1,7)+1&lt;=5,IF('Calibración de turnos'!$E$24=13,"M3b","M3a"),"L")))</f>
        <v>M3a</v>
      </c>
      <c r="V35" s="63" t="str">
        <f aca="false">IF('Calibración de turnos'!$B$25="T1",MID("DDNNLL",MOD($A35-1+'Calibración de turnos'!$D$25,6)+1,1),IF('Calibración de turnos'!$B$25="T2",IF(MOD($A35-1,7)+1&lt;=5,IF(MOD(INT(($A35-1)/7)+'Calibración de turnos'!$D$25,2)=0,"M2","T2"),"L"),IF(MOD($A35-1,7)+1&lt;=5,IF('Calibración de turnos'!$E$25=13,"M3b","M3a"),"L")))</f>
        <v>M3b</v>
      </c>
    </row>
    <row r="36" customFormat="false" ht="15" hidden="false" customHeight="false" outlineLevel="0" collapsed="false">
      <c r="A36" s="18" t="n">
        <v>32</v>
      </c>
      <c r="B36" s="18" t="str">
        <f aca="false">CHOOSE(MOD(A36-1,7)+1,"lunes","martes","miércoles","jueves","viernes","sábado","domingo")</f>
        <v>jueves</v>
      </c>
      <c r="C36" s="63" t="str">
        <f aca="false">IF('Calibración de turnos'!$B$6="T1",MID("DDNNLL",MOD($A36-1+'Calibración de turnos'!$D$6,6)+1,1),IF('Calibración de turnos'!$B$6="T2",IF(MOD($A36-1,7)+1&lt;=5,IF(MOD(INT(($A36-1)/7)+'Calibración de turnos'!$D$6,2)=0,"M2","T2"),"L"),IF(MOD($A36-1,7)+1&lt;=5,IF('Calibración de turnos'!$E$6=13,"M3b","M3a"),"L")))</f>
        <v>D</v>
      </c>
      <c r="D36" s="63" t="str">
        <f aca="false">IF('Calibración de turnos'!$B$7="T1",MID("DDNNLL",MOD($A36-1+'Calibración de turnos'!$D$7,6)+1,1),IF('Calibración de turnos'!$B$7="T2",IF(MOD($A36-1,7)+1&lt;=5,IF(MOD(INT(($A36-1)/7)+'Calibración de turnos'!$D$7,2)=0,"M2","T2"),"L"),IF(MOD($A36-1,7)+1&lt;=5,IF('Calibración de turnos'!$E$7=13,"M3b","M3a"),"L")))</f>
        <v>N</v>
      </c>
      <c r="E36" s="63" t="str">
        <f aca="false">IF('Calibración de turnos'!$B$8="T1",MID("DDNNLL",MOD($A36-1+'Calibración de turnos'!$D$8,6)+1,1),IF('Calibración de turnos'!$B$8="T2",IF(MOD($A36-1,7)+1&lt;=5,IF(MOD(INT(($A36-1)/7)+'Calibración de turnos'!$D$8,2)=0,"M2","T2"),"L"),IF(MOD($A36-1,7)+1&lt;=5,IF('Calibración de turnos'!$E$8=13,"M3b","M3a"),"L")))</f>
        <v>D</v>
      </c>
      <c r="F36" s="63" t="str">
        <f aca="false">IF('Calibración de turnos'!$B$9="T1",MID("DDNNLL",MOD($A36-1+'Calibración de turnos'!$D$9,6)+1,1),IF('Calibración de turnos'!$B$9="T2",IF(MOD($A36-1,7)+1&lt;=5,IF(MOD(INT(($A36-1)/7)+'Calibración de turnos'!$D$9,2)=0,"M2","T2"),"L"),IF(MOD($A36-1,7)+1&lt;=5,IF('Calibración de turnos'!$E$9=13,"M3b","M3a"),"L")))</f>
        <v>N</v>
      </c>
      <c r="G36" s="63" t="str">
        <f aca="false">IF('Calibración de turnos'!$B$10="T1",MID("DDNNLL",MOD($A36-1+'Calibración de turnos'!$D$10,6)+1,1),IF('Calibración de turnos'!$B$10="T2",IF(MOD($A36-1,7)+1&lt;=5,IF(MOD(INT(($A36-1)/7)+'Calibración de turnos'!$D$10,2)=0,"M2","T2"),"L"),IF(MOD($A36-1,7)+1&lt;=5,IF('Calibración de turnos'!$E$10=13,"M3b","M3a"),"L")))</f>
        <v>L</v>
      </c>
      <c r="H36" s="63" t="str">
        <f aca="false">IF('Calibración de turnos'!$B$11="T1",MID("DDNNLL",MOD($A36-1+'Calibración de turnos'!$D$11,6)+1,1),IF('Calibración de turnos'!$B$11="T2",IF(MOD($A36-1,7)+1&lt;=5,IF(MOD(INT(($A36-1)/7)+'Calibración de turnos'!$D$11,2)=0,"M2","T2"),"L"),IF(MOD($A36-1,7)+1&lt;=5,IF('Calibración de turnos'!$E$11=13,"M3b","M3a"),"L")))</f>
        <v>L</v>
      </c>
      <c r="I36" s="63" t="str">
        <f aca="false">IF('Calibración de turnos'!$B$12="T1",MID("DDNNLL",MOD($A36-1+'Calibración de turnos'!$D$12,6)+1,1),IF('Calibración de turnos'!$B$12="T2",IF(MOD($A36-1,7)+1&lt;=5,IF(MOD(INT(($A36-1)/7)+'Calibración de turnos'!$D$12,2)=0,"M2","T2"),"L"),IF(MOD($A36-1,7)+1&lt;=5,IF('Calibración de turnos'!$E$12=13,"M3b","M3a"),"L")))</f>
        <v>M2</v>
      </c>
      <c r="J36" s="63" t="str">
        <f aca="false">IF('Calibración de turnos'!$B$13="T1",MID("DDNNLL",MOD($A36-1+'Calibración de turnos'!$D$13,6)+1,1),IF('Calibración de turnos'!$B$13="T2",IF(MOD($A36-1,7)+1&lt;=5,IF(MOD(INT(($A36-1)/7)+'Calibración de turnos'!$D$13,2)=0,"M2","T2"),"L"),IF(MOD($A36-1,7)+1&lt;=5,IF('Calibración de turnos'!$E$13=13,"M3b","M3a"),"L")))</f>
        <v>T2</v>
      </c>
      <c r="K36" s="63" t="str">
        <f aca="false">IF('Calibración de turnos'!$B$14="T1",MID("DDNNLL",MOD($A36-1+'Calibración de turnos'!$D$14,6)+1,1),IF('Calibración de turnos'!$B$14="T2",IF(MOD($A36-1,7)+1&lt;=5,IF(MOD(INT(($A36-1)/7)+'Calibración de turnos'!$D$14,2)=0,"M2","T2"),"L"),IF(MOD($A36-1,7)+1&lt;=5,IF('Calibración de turnos'!$E$14=13,"M3b","M3a"),"L")))</f>
        <v>M2</v>
      </c>
      <c r="L36" s="63" t="str">
        <f aca="false">IF('Calibración de turnos'!$B$15="T1",MID("DDNNLL",MOD($A36-1+'Calibración de turnos'!$D$15,6)+1,1),IF('Calibración de turnos'!$B$15="T2",IF(MOD($A36-1,7)+1&lt;=5,IF(MOD(INT(($A36-1)/7)+'Calibración de turnos'!$D$15,2)=0,"M2","T2"),"L"),IF(MOD($A36-1,7)+1&lt;=5,IF('Calibración de turnos'!$E$15=13,"M3b","M3a"),"L")))</f>
        <v>T2</v>
      </c>
      <c r="M36" s="63" t="str">
        <f aca="false">IF('Calibración de turnos'!$B$16="T1",MID("DDNNLL",MOD($A36-1+'Calibración de turnos'!$D$16,6)+1,1),IF('Calibración de turnos'!$B$16="T2",IF(MOD($A36-1,7)+1&lt;=5,IF(MOD(INT(($A36-1)/7)+'Calibración de turnos'!$D$16,2)=0,"M2","T2"),"L"),IF(MOD($A36-1,7)+1&lt;=5,IF('Calibración de turnos'!$E$16=13,"M3b","M3a"),"L")))</f>
        <v>M3a</v>
      </c>
      <c r="N36" s="63" t="str">
        <f aca="false">IF('Calibración de turnos'!$B$17="T1",MID("DDNNLL",MOD($A36-1+'Calibración de turnos'!$D$17,6)+1,1),IF('Calibración de turnos'!$B$17="T2",IF(MOD($A36-1,7)+1&lt;=5,IF(MOD(INT(($A36-1)/7)+'Calibración de turnos'!$D$17,2)=0,"M2","T2"),"L"),IF(MOD($A36-1,7)+1&lt;=5,IF('Calibración de turnos'!$E$17=13,"M3b","M3a"),"L")))</f>
        <v>M3a</v>
      </c>
      <c r="O36" s="63" t="str">
        <f aca="false">IF('Calibración de turnos'!$B$18="T1",MID("DDNNLL",MOD($A36-1+'Calibración de turnos'!$D$18,6)+1,1),IF('Calibración de turnos'!$B$18="T2",IF(MOD($A36-1,7)+1&lt;=5,IF(MOD(INT(($A36-1)/7)+'Calibración de turnos'!$D$18,2)=0,"M2","T2"),"L"),IF(MOD($A36-1,7)+1&lt;=5,IF('Calibración de turnos'!$E$18=13,"M3b","M3a"),"L")))</f>
        <v>M3b</v>
      </c>
      <c r="P36" s="63" t="str">
        <f aca="false">IF('Calibración de turnos'!$B$19="T1",MID("DDNNLL",MOD($A36-1+'Calibración de turnos'!$D$19,6)+1,1),IF('Calibración de turnos'!$B$19="T2",IF(MOD($A36-1,7)+1&lt;=5,IF(MOD(INT(($A36-1)/7)+'Calibración de turnos'!$D$19,2)=0,"M2","T2"),"L"),IF(MOD($A36-1,7)+1&lt;=5,IF('Calibración de turnos'!$E$19=13,"M3b","M3a"),"L")))</f>
        <v>M3a</v>
      </c>
      <c r="Q36" s="63" t="str">
        <f aca="false">IF('Calibración de turnos'!$B$20="T1",MID("DDNNLL",MOD($A36-1+'Calibración de turnos'!$D$20,6)+1,1),IF('Calibración de turnos'!$B$20="T2",IF(MOD($A36-1,7)+1&lt;=5,IF(MOD(INT(($A36-1)/7)+'Calibración de turnos'!$D$20,2)=0,"M2","T2"),"L"),IF(MOD($A36-1,7)+1&lt;=5,IF('Calibración de turnos'!$E$20=13,"M3b","M3a"),"L")))</f>
        <v>M3b</v>
      </c>
      <c r="R36" s="63" t="str">
        <f aca="false">IF('Calibración de turnos'!$B$21="T1",MID("DDNNLL",MOD($A36-1+'Calibración de turnos'!$D$21,6)+1,1),IF('Calibración de turnos'!$B$21="T2",IF(MOD($A36-1,7)+1&lt;=5,IF(MOD(INT(($A36-1)/7)+'Calibración de turnos'!$D$21,2)=0,"M2","T2"),"L"),IF(MOD($A36-1,7)+1&lt;=5,IF('Calibración de turnos'!$E$21=13,"M3b","M3a"),"L")))</f>
        <v>M3b</v>
      </c>
      <c r="S36" s="63" t="str">
        <f aca="false">IF('Calibración de turnos'!$B$22="T1",MID("DDNNLL",MOD($A36-1+'Calibración de turnos'!$D$22,6)+1,1),IF('Calibración de turnos'!$B$22="T2",IF(MOD($A36-1,7)+1&lt;=5,IF(MOD(INT(($A36-1)/7)+'Calibración de turnos'!$D$22,2)=0,"M2","T2"),"L"),IF(MOD($A36-1,7)+1&lt;=5,IF('Calibración de turnos'!$E$22=13,"M3b","M3a"),"L")))</f>
        <v>M3a</v>
      </c>
      <c r="T36" s="63" t="str">
        <f aca="false">IF('Calibración de turnos'!$B$23="T1",MID("DDNNLL",MOD($A36-1+'Calibración de turnos'!$D$23,6)+1,1),IF('Calibración de turnos'!$B$23="T2",IF(MOD($A36-1,7)+1&lt;=5,IF(MOD(INT(($A36-1)/7)+'Calibración de turnos'!$D$23,2)=0,"M2","T2"),"L"),IF(MOD($A36-1,7)+1&lt;=5,IF('Calibración de turnos'!$E$23=13,"M3b","M3a"),"L")))</f>
        <v>M3b</v>
      </c>
      <c r="U36" s="63" t="str">
        <f aca="false">IF('Calibración de turnos'!$B$24="T1",MID("DDNNLL",MOD($A36-1+'Calibración de turnos'!$D$24,6)+1,1),IF('Calibración de turnos'!$B$24="T2",IF(MOD($A36-1,7)+1&lt;=5,IF(MOD(INT(($A36-1)/7)+'Calibración de turnos'!$D$24,2)=0,"M2","T2"),"L"),IF(MOD($A36-1,7)+1&lt;=5,IF('Calibración de turnos'!$E$24=13,"M3b","M3a"),"L")))</f>
        <v>M3a</v>
      </c>
      <c r="V36" s="63" t="str">
        <f aca="false">IF('Calibración de turnos'!$B$25="T1",MID("DDNNLL",MOD($A36-1+'Calibración de turnos'!$D$25,6)+1,1),IF('Calibración de turnos'!$B$25="T2",IF(MOD($A36-1,7)+1&lt;=5,IF(MOD(INT(($A36-1)/7)+'Calibración de turnos'!$D$25,2)=0,"M2","T2"),"L"),IF(MOD($A36-1,7)+1&lt;=5,IF('Calibración de turnos'!$E$25=13,"M3b","M3a"),"L")))</f>
        <v>M3b</v>
      </c>
    </row>
    <row r="37" customFormat="false" ht="15" hidden="false" customHeight="false" outlineLevel="0" collapsed="false">
      <c r="A37" s="18" t="n">
        <v>33</v>
      </c>
      <c r="B37" s="18" t="str">
        <f aca="false">CHOOSE(MOD(A37-1,7)+1,"lunes","martes","miércoles","jueves","viernes","sábado","domingo")</f>
        <v>viernes</v>
      </c>
      <c r="C37" s="63" t="str">
        <f aca="false">IF('Calibración de turnos'!$B$6="T1",MID("DDNNLL",MOD($A37-1+'Calibración de turnos'!$D$6,6)+1,1),IF('Calibración de turnos'!$B$6="T2",IF(MOD($A37-1,7)+1&lt;=5,IF(MOD(INT(($A37-1)/7)+'Calibración de turnos'!$D$6,2)=0,"M2","T2"),"L"),IF(MOD($A37-1,7)+1&lt;=5,IF('Calibración de turnos'!$E$6=13,"M3b","M3a"),"L")))</f>
        <v>N</v>
      </c>
      <c r="D37" s="63" t="str">
        <f aca="false">IF('Calibración de turnos'!$B$7="T1",MID("DDNNLL",MOD($A37-1+'Calibración de turnos'!$D$7,6)+1,1),IF('Calibración de turnos'!$B$7="T2",IF(MOD($A37-1,7)+1&lt;=5,IF(MOD(INT(($A37-1)/7)+'Calibración de turnos'!$D$7,2)=0,"M2","T2"),"L"),IF(MOD($A37-1,7)+1&lt;=5,IF('Calibración de turnos'!$E$7=13,"M3b","M3a"),"L")))</f>
        <v>L</v>
      </c>
      <c r="E37" s="63" t="str">
        <f aca="false">IF('Calibración de turnos'!$B$8="T1",MID("DDNNLL",MOD($A37-1+'Calibración de turnos'!$D$8,6)+1,1),IF('Calibración de turnos'!$B$8="T2",IF(MOD($A37-1,7)+1&lt;=5,IF(MOD(INT(($A37-1)/7)+'Calibración de turnos'!$D$8,2)=0,"M2","T2"),"L"),IF(MOD($A37-1,7)+1&lt;=5,IF('Calibración de turnos'!$E$8=13,"M3b","M3a"),"L")))</f>
        <v>N</v>
      </c>
      <c r="F37" s="63" t="str">
        <f aca="false">IF('Calibración de turnos'!$B$9="T1",MID("DDNNLL",MOD($A37-1+'Calibración de turnos'!$D$9,6)+1,1),IF('Calibración de turnos'!$B$9="T2",IF(MOD($A37-1,7)+1&lt;=5,IF(MOD(INT(($A37-1)/7)+'Calibración de turnos'!$D$9,2)=0,"M2","T2"),"L"),IF(MOD($A37-1,7)+1&lt;=5,IF('Calibración de turnos'!$E$9=13,"M3b","M3a"),"L")))</f>
        <v>L</v>
      </c>
      <c r="G37" s="63" t="str">
        <f aca="false">IF('Calibración de turnos'!$B$10="T1",MID("DDNNLL",MOD($A37-1+'Calibración de turnos'!$D$10,6)+1,1),IF('Calibración de turnos'!$B$10="T2",IF(MOD($A37-1,7)+1&lt;=5,IF(MOD(INT(($A37-1)/7)+'Calibración de turnos'!$D$10,2)=0,"M2","T2"),"L"),IF(MOD($A37-1,7)+1&lt;=5,IF('Calibración de turnos'!$E$10=13,"M3b","M3a"),"L")))</f>
        <v>D</v>
      </c>
      <c r="H37" s="63" t="str">
        <f aca="false">IF('Calibración de turnos'!$B$11="T1",MID("DDNNLL",MOD($A37-1+'Calibración de turnos'!$D$11,6)+1,1),IF('Calibración de turnos'!$B$11="T2",IF(MOD($A37-1,7)+1&lt;=5,IF(MOD(INT(($A37-1)/7)+'Calibración de turnos'!$D$11,2)=0,"M2","T2"),"L"),IF(MOD($A37-1,7)+1&lt;=5,IF('Calibración de turnos'!$E$11=13,"M3b","M3a"),"L")))</f>
        <v>D</v>
      </c>
      <c r="I37" s="63" t="str">
        <f aca="false">IF('Calibración de turnos'!$B$12="T1",MID("DDNNLL",MOD($A37-1+'Calibración de turnos'!$D$12,6)+1,1),IF('Calibración de turnos'!$B$12="T2",IF(MOD($A37-1,7)+1&lt;=5,IF(MOD(INT(($A37-1)/7)+'Calibración de turnos'!$D$12,2)=0,"M2","T2"),"L"),IF(MOD($A37-1,7)+1&lt;=5,IF('Calibración de turnos'!$E$12=13,"M3b","M3a"),"L")))</f>
        <v>M2</v>
      </c>
      <c r="J37" s="63" t="str">
        <f aca="false">IF('Calibración de turnos'!$B$13="T1",MID("DDNNLL",MOD($A37-1+'Calibración de turnos'!$D$13,6)+1,1),IF('Calibración de turnos'!$B$13="T2",IF(MOD($A37-1,7)+1&lt;=5,IF(MOD(INT(($A37-1)/7)+'Calibración de turnos'!$D$13,2)=0,"M2","T2"),"L"),IF(MOD($A37-1,7)+1&lt;=5,IF('Calibración de turnos'!$E$13=13,"M3b","M3a"),"L")))</f>
        <v>T2</v>
      </c>
      <c r="K37" s="63" t="str">
        <f aca="false">IF('Calibración de turnos'!$B$14="T1",MID("DDNNLL",MOD($A37-1+'Calibración de turnos'!$D$14,6)+1,1),IF('Calibración de turnos'!$B$14="T2",IF(MOD($A37-1,7)+1&lt;=5,IF(MOD(INT(($A37-1)/7)+'Calibración de turnos'!$D$14,2)=0,"M2","T2"),"L"),IF(MOD($A37-1,7)+1&lt;=5,IF('Calibración de turnos'!$E$14=13,"M3b","M3a"),"L")))</f>
        <v>M2</v>
      </c>
      <c r="L37" s="63" t="str">
        <f aca="false">IF('Calibración de turnos'!$B$15="T1",MID("DDNNLL",MOD($A37-1+'Calibración de turnos'!$D$15,6)+1,1),IF('Calibración de turnos'!$B$15="T2",IF(MOD($A37-1,7)+1&lt;=5,IF(MOD(INT(($A37-1)/7)+'Calibración de turnos'!$D$15,2)=0,"M2","T2"),"L"),IF(MOD($A37-1,7)+1&lt;=5,IF('Calibración de turnos'!$E$15=13,"M3b","M3a"),"L")))</f>
        <v>T2</v>
      </c>
      <c r="M37" s="63" t="str">
        <f aca="false">IF('Calibración de turnos'!$B$16="T1",MID("DDNNLL",MOD($A37-1+'Calibración de turnos'!$D$16,6)+1,1),IF('Calibración de turnos'!$B$16="T2",IF(MOD($A37-1,7)+1&lt;=5,IF(MOD(INT(($A37-1)/7)+'Calibración de turnos'!$D$16,2)=0,"M2","T2"),"L"),IF(MOD($A37-1,7)+1&lt;=5,IF('Calibración de turnos'!$E$16=13,"M3b","M3a"),"L")))</f>
        <v>M3a</v>
      </c>
      <c r="N37" s="63" t="str">
        <f aca="false">IF('Calibración de turnos'!$B$17="T1",MID("DDNNLL",MOD($A37-1+'Calibración de turnos'!$D$17,6)+1,1),IF('Calibración de turnos'!$B$17="T2",IF(MOD($A37-1,7)+1&lt;=5,IF(MOD(INT(($A37-1)/7)+'Calibración de turnos'!$D$17,2)=0,"M2","T2"),"L"),IF(MOD($A37-1,7)+1&lt;=5,IF('Calibración de turnos'!$E$17=13,"M3b","M3a"),"L")))</f>
        <v>M3a</v>
      </c>
      <c r="O37" s="63" t="str">
        <f aca="false">IF('Calibración de turnos'!$B$18="T1",MID("DDNNLL",MOD($A37-1+'Calibración de turnos'!$D$18,6)+1,1),IF('Calibración de turnos'!$B$18="T2",IF(MOD($A37-1,7)+1&lt;=5,IF(MOD(INT(($A37-1)/7)+'Calibración de turnos'!$D$18,2)=0,"M2","T2"),"L"),IF(MOD($A37-1,7)+1&lt;=5,IF('Calibración de turnos'!$E$18=13,"M3b","M3a"),"L")))</f>
        <v>M3b</v>
      </c>
      <c r="P37" s="63" t="str">
        <f aca="false">IF('Calibración de turnos'!$B$19="T1",MID("DDNNLL",MOD($A37-1+'Calibración de turnos'!$D$19,6)+1,1),IF('Calibración de turnos'!$B$19="T2",IF(MOD($A37-1,7)+1&lt;=5,IF(MOD(INT(($A37-1)/7)+'Calibración de turnos'!$D$19,2)=0,"M2","T2"),"L"),IF(MOD($A37-1,7)+1&lt;=5,IF('Calibración de turnos'!$E$19=13,"M3b","M3a"),"L")))</f>
        <v>M3a</v>
      </c>
      <c r="Q37" s="63" t="str">
        <f aca="false">IF('Calibración de turnos'!$B$20="T1",MID("DDNNLL",MOD($A37-1+'Calibración de turnos'!$D$20,6)+1,1),IF('Calibración de turnos'!$B$20="T2",IF(MOD($A37-1,7)+1&lt;=5,IF(MOD(INT(($A37-1)/7)+'Calibración de turnos'!$D$20,2)=0,"M2","T2"),"L"),IF(MOD($A37-1,7)+1&lt;=5,IF('Calibración de turnos'!$E$20=13,"M3b","M3a"),"L")))</f>
        <v>M3b</v>
      </c>
      <c r="R37" s="63" t="str">
        <f aca="false">IF('Calibración de turnos'!$B$21="T1",MID("DDNNLL",MOD($A37-1+'Calibración de turnos'!$D$21,6)+1,1),IF('Calibración de turnos'!$B$21="T2",IF(MOD($A37-1,7)+1&lt;=5,IF(MOD(INT(($A37-1)/7)+'Calibración de turnos'!$D$21,2)=0,"M2","T2"),"L"),IF(MOD($A37-1,7)+1&lt;=5,IF('Calibración de turnos'!$E$21=13,"M3b","M3a"),"L")))</f>
        <v>M3b</v>
      </c>
      <c r="S37" s="63" t="str">
        <f aca="false">IF('Calibración de turnos'!$B$22="T1",MID("DDNNLL",MOD($A37-1+'Calibración de turnos'!$D$22,6)+1,1),IF('Calibración de turnos'!$B$22="T2",IF(MOD($A37-1,7)+1&lt;=5,IF(MOD(INT(($A37-1)/7)+'Calibración de turnos'!$D$22,2)=0,"M2","T2"),"L"),IF(MOD($A37-1,7)+1&lt;=5,IF('Calibración de turnos'!$E$22=13,"M3b","M3a"),"L")))</f>
        <v>M3a</v>
      </c>
      <c r="T37" s="63" t="str">
        <f aca="false">IF('Calibración de turnos'!$B$23="T1",MID("DDNNLL",MOD($A37-1+'Calibración de turnos'!$D$23,6)+1,1),IF('Calibración de turnos'!$B$23="T2",IF(MOD($A37-1,7)+1&lt;=5,IF(MOD(INT(($A37-1)/7)+'Calibración de turnos'!$D$23,2)=0,"M2","T2"),"L"),IF(MOD($A37-1,7)+1&lt;=5,IF('Calibración de turnos'!$E$23=13,"M3b","M3a"),"L")))</f>
        <v>M3b</v>
      </c>
      <c r="U37" s="63" t="str">
        <f aca="false">IF('Calibración de turnos'!$B$24="T1",MID("DDNNLL",MOD($A37-1+'Calibración de turnos'!$D$24,6)+1,1),IF('Calibración de turnos'!$B$24="T2",IF(MOD($A37-1,7)+1&lt;=5,IF(MOD(INT(($A37-1)/7)+'Calibración de turnos'!$D$24,2)=0,"M2","T2"),"L"),IF(MOD($A37-1,7)+1&lt;=5,IF('Calibración de turnos'!$E$24=13,"M3b","M3a"),"L")))</f>
        <v>M3a</v>
      </c>
      <c r="V37" s="63" t="str">
        <f aca="false">IF('Calibración de turnos'!$B$25="T1",MID("DDNNLL",MOD($A37-1+'Calibración de turnos'!$D$25,6)+1,1),IF('Calibración de turnos'!$B$25="T2",IF(MOD($A37-1,7)+1&lt;=5,IF(MOD(INT(($A37-1)/7)+'Calibración de turnos'!$D$25,2)=0,"M2","T2"),"L"),IF(MOD($A37-1,7)+1&lt;=5,IF('Calibración de turnos'!$E$25=13,"M3b","M3a"),"L")))</f>
        <v>M3b</v>
      </c>
    </row>
    <row r="38" customFormat="false" ht="15" hidden="false" customHeight="false" outlineLevel="0" collapsed="false">
      <c r="A38" s="18" t="n">
        <v>34</v>
      </c>
      <c r="B38" s="18" t="str">
        <f aca="false">CHOOSE(MOD(A38-1,7)+1,"lunes","martes","miércoles","jueves","viernes","sábado","domingo")</f>
        <v>sábado</v>
      </c>
      <c r="C38" s="63" t="str">
        <f aca="false">IF('Calibración de turnos'!$B$6="T1",MID("DDNNLL",MOD($A38-1+'Calibración de turnos'!$D$6,6)+1,1),IF('Calibración de turnos'!$B$6="T2",IF(MOD($A38-1,7)+1&lt;=5,IF(MOD(INT(($A38-1)/7)+'Calibración de turnos'!$D$6,2)=0,"M2","T2"),"L"),IF(MOD($A38-1,7)+1&lt;=5,IF('Calibración de turnos'!$E$6=13,"M3b","M3a"),"L")))</f>
        <v>N</v>
      </c>
      <c r="D38" s="63" t="str">
        <f aca="false">IF('Calibración de turnos'!$B$7="T1",MID("DDNNLL",MOD($A38-1+'Calibración de turnos'!$D$7,6)+1,1),IF('Calibración de turnos'!$B$7="T2",IF(MOD($A38-1,7)+1&lt;=5,IF(MOD(INT(($A38-1)/7)+'Calibración de turnos'!$D$7,2)=0,"M2","T2"),"L"),IF(MOD($A38-1,7)+1&lt;=5,IF('Calibración de turnos'!$E$7=13,"M3b","M3a"),"L")))</f>
        <v>L</v>
      </c>
      <c r="E38" s="63" t="str">
        <f aca="false">IF('Calibración de turnos'!$B$8="T1",MID("DDNNLL",MOD($A38-1+'Calibración de turnos'!$D$8,6)+1,1),IF('Calibración de turnos'!$B$8="T2",IF(MOD($A38-1,7)+1&lt;=5,IF(MOD(INT(($A38-1)/7)+'Calibración de turnos'!$D$8,2)=0,"M2","T2"),"L"),IF(MOD($A38-1,7)+1&lt;=5,IF('Calibración de turnos'!$E$8=13,"M3b","M3a"),"L")))</f>
        <v>N</v>
      </c>
      <c r="F38" s="63" t="str">
        <f aca="false">IF('Calibración de turnos'!$B$9="T1",MID("DDNNLL",MOD($A38-1+'Calibración de turnos'!$D$9,6)+1,1),IF('Calibración de turnos'!$B$9="T2",IF(MOD($A38-1,7)+1&lt;=5,IF(MOD(INT(($A38-1)/7)+'Calibración de turnos'!$D$9,2)=0,"M2","T2"),"L"),IF(MOD($A38-1,7)+1&lt;=5,IF('Calibración de turnos'!$E$9=13,"M3b","M3a"),"L")))</f>
        <v>L</v>
      </c>
      <c r="G38" s="63" t="str">
        <f aca="false">IF('Calibración de turnos'!$B$10="T1",MID("DDNNLL",MOD($A38-1+'Calibración de turnos'!$D$10,6)+1,1),IF('Calibración de turnos'!$B$10="T2",IF(MOD($A38-1,7)+1&lt;=5,IF(MOD(INT(($A38-1)/7)+'Calibración de turnos'!$D$10,2)=0,"M2","T2"),"L"),IF(MOD($A38-1,7)+1&lt;=5,IF('Calibración de turnos'!$E$10=13,"M3b","M3a"),"L")))</f>
        <v>D</v>
      </c>
      <c r="H38" s="63" t="str">
        <f aca="false">IF('Calibración de turnos'!$B$11="T1",MID("DDNNLL",MOD($A38-1+'Calibración de turnos'!$D$11,6)+1,1),IF('Calibración de turnos'!$B$11="T2",IF(MOD($A38-1,7)+1&lt;=5,IF(MOD(INT(($A38-1)/7)+'Calibración de turnos'!$D$11,2)=0,"M2","T2"),"L"),IF(MOD($A38-1,7)+1&lt;=5,IF('Calibración de turnos'!$E$11=13,"M3b","M3a"),"L")))</f>
        <v>D</v>
      </c>
      <c r="I38" s="63" t="str">
        <f aca="false">IF('Calibración de turnos'!$B$12="T1",MID("DDNNLL",MOD($A38-1+'Calibración de turnos'!$D$12,6)+1,1),IF('Calibración de turnos'!$B$12="T2",IF(MOD($A38-1,7)+1&lt;=5,IF(MOD(INT(($A38-1)/7)+'Calibración de turnos'!$D$12,2)=0,"M2","T2"),"L"),IF(MOD($A38-1,7)+1&lt;=5,IF('Calibración de turnos'!$E$12=13,"M3b","M3a"),"L")))</f>
        <v>L</v>
      </c>
      <c r="J38" s="63" t="str">
        <f aca="false">IF('Calibración de turnos'!$B$13="T1",MID("DDNNLL",MOD($A38-1+'Calibración de turnos'!$D$13,6)+1,1),IF('Calibración de turnos'!$B$13="T2",IF(MOD($A38-1,7)+1&lt;=5,IF(MOD(INT(($A38-1)/7)+'Calibración de turnos'!$D$13,2)=0,"M2","T2"),"L"),IF(MOD($A38-1,7)+1&lt;=5,IF('Calibración de turnos'!$E$13=13,"M3b","M3a"),"L")))</f>
        <v>L</v>
      </c>
      <c r="K38" s="63" t="str">
        <f aca="false">IF('Calibración de turnos'!$B$14="T1",MID("DDNNLL",MOD($A38-1+'Calibración de turnos'!$D$14,6)+1,1),IF('Calibración de turnos'!$B$14="T2",IF(MOD($A38-1,7)+1&lt;=5,IF(MOD(INT(($A38-1)/7)+'Calibración de turnos'!$D$14,2)=0,"M2","T2"),"L"),IF(MOD($A38-1,7)+1&lt;=5,IF('Calibración de turnos'!$E$14=13,"M3b","M3a"),"L")))</f>
        <v>L</v>
      </c>
      <c r="L38" s="63" t="str">
        <f aca="false">IF('Calibración de turnos'!$B$15="T1",MID("DDNNLL",MOD($A38-1+'Calibración de turnos'!$D$15,6)+1,1),IF('Calibración de turnos'!$B$15="T2",IF(MOD($A38-1,7)+1&lt;=5,IF(MOD(INT(($A38-1)/7)+'Calibración de turnos'!$D$15,2)=0,"M2","T2"),"L"),IF(MOD($A38-1,7)+1&lt;=5,IF('Calibración de turnos'!$E$15=13,"M3b","M3a"),"L")))</f>
        <v>L</v>
      </c>
      <c r="M38" s="63" t="str">
        <f aca="false">IF('Calibración de turnos'!$B$16="T1",MID("DDNNLL",MOD($A38-1+'Calibración de turnos'!$D$16,6)+1,1),IF('Calibración de turnos'!$B$16="T2",IF(MOD($A38-1,7)+1&lt;=5,IF(MOD(INT(($A38-1)/7)+'Calibración de turnos'!$D$16,2)=0,"M2","T2"),"L"),IF(MOD($A38-1,7)+1&lt;=5,IF('Calibración de turnos'!$E$16=13,"M3b","M3a"),"L")))</f>
        <v>L</v>
      </c>
      <c r="N38" s="63" t="str">
        <f aca="false">IF('Calibración de turnos'!$B$17="T1",MID("DDNNLL",MOD($A38-1+'Calibración de turnos'!$D$17,6)+1,1),IF('Calibración de turnos'!$B$17="T2",IF(MOD($A38-1,7)+1&lt;=5,IF(MOD(INT(($A38-1)/7)+'Calibración de turnos'!$D$17,2)=0,"M2","T2"),"L"),IF(MOD($A38-1,7)+1&lt;=5,IF('Calibración de turnos'!$E$17=13,"M3b","M3a"),"L")))</f>
        <v>L</v>
      </c>
      <c r="O38" s="63" t="str">
        <f aca="false">IF('Calibración de turnos'!$B$18="T1",MID("DDNNLL",MOD($A38-1+'Calibración de turnos'!$D$18,6)+1,1),IF('Calibración de turnos'!$B$18="T2",IF(MOD($A38-1,7)+1&lt;=5,IF(MOD(INT(($A38-1)/7)+'Calibración de turnos'!$D$18,2)=0,"M2","T2"),"L"),IF(MOD($A38-1,7)+1&lt;=5,IF('Calibración de turnos'!$E$18=13,"M3b","M3a"),"L")))</f>
        <v>L</v>
      </c>
      <c r="P38" s="63" t="str">
        <f aca="false">IF('Calibración de turnos'!$B$19="T1",MID("DDNNLL",MOD($A38-1+'Calibración de turnos'!$D$19,6)+1,1),IF('Calibración de turnos'!$B$19="T2",IF(MOD($A38-1,7)+1&lt;=5,IF(MOD(INT(($A38-1)/7)+'Calibración de turnos'!$D$19,2)=0,"M2","T2"),"L"),IF(MOD($A38-1,7)+1&lt;=5,IF('Calibración de turnos'!$E$19=13,"M3b","M3a"),"L")))</f>
        <v>L</v>
      </c>
      <c r="Q38" s="63" t="str">
        <f aca="false">IF('Calibración de turnos'!$B$20="T1",MID("DDNNLL",MOD($A38-1+'Calibración de turnos'!$D$20,6)+1,1),IF('Calibración de turnos'!$B$20="T2",IF(MOD($A38-1,7)+1&lt;=5,IF(MOD(INT(($A38-1)/7)+'Calibración de turnos'!$D$20,2)=0,"M2","T2"),"L"),IF(MOD($A38-1,7)+1&lt;=5,IF('Calibración de turnos'!$E$20=13,"M3b","M3a"),"L")))</f>
        <v>L</v>
      </c>
      <c r="R38" s="63" t="str">
        <f aca="false">IF('Calibración de turnos'!$B$21="T1",MID("DDNNLL",MOD($A38-1+'Calibración de turnos'!$D$21,6)+1,1),IF('Calibración de turnos'!$B$21="T2",IF(MOD($A38-1,7)+1&lt;=5,IF(MOD(INT(($A38-1)/7)+'Calibración de turnos'!$D$21,2)=0,"M2","T2"),"L"),IF(MOD($A38-1,7)+1&lt;=5,IF('Calibración de turnos'!$E$21=13,"M3b","M3a"),"L")))</f>
        <v>L</v>
      </c>
      <c r="S38" s="63" t="str">
        <f aca="false">IF('Calibración de turnos'!$B$22="T1",MID("DDNNLL",MOD($A38-1+'Calibración de turnos'!$D$22,6)+1,1),IF('Calibración de turnos'!$B$22="T2",IF(MOD($A38-1,7)+1&lt;=5,IF(MOD(INT(($A38-1)/7)+'Calibración de turnos'!$D$22,2)=0,"M2","T2"),"L"),IF(MOD($A38-1,7)+1&lt;=5,IF('Calibración de turnos'!$E$22=13,"M3b","M3a"),"L")))</f>
        <v>L</v>
      </c>
      <c r="T38" s="63" t="str">
        <f aca="false">IF('Calibración de turnos'!$B$23="T1",MID("DDNNLL",MOD($A38-1+'Calibración de turnos'!$D$23,6)+1,1),IF('Calibración de turnos'!$B$23="T2",IF(MOD($A38-1,7)+1&lt;=5,IF(MOD(INT(($A38-1)/7)+'Calibración de turnos'!$D$23,2)=0,"M2","T2"),"L"),IF(MOD($A38-1,7)+1&lt;=5,IF('Calibración de turnos'!$E$23=13,"M3b","M3a"),"L")))</f>
        <v>L</v>
      </c>
      <c r="U38" s="63" t="str">
        <f aca="false">IF('Calibración de turnos'!$B$24="T1",MID("DDNNLL",MOD($A38-1+'Calibración de turnos'!$D$24,6)+1,1),IF('Calibración de turnos'!$B$24="T2",IF(MOD($A38-1,7)+1&lt;=5,IF(MOD(INT(($A38-1)/7)+'Calibración de turnos'!$D$24,2)=0,"M2","T2"),"L"),IF(MOD($A38-1,7)+1&lt;=5,IF('Calibración de turnos'!$E$24=13,"M3b","M3a"),"L")))</f>
        <v>L</v>
      </c>
      <c r="V38" s="63" t="str">
        <f aca="false">IF('Calibración de turnos'!$B$25="T1",MID("DDNNLL",MOD($A38-1+'Calibración de turnos'!$D$25,6)+1,1),IF('Calibración de turnos'!$B$25="T2",IF(MOD($A38-1,7)+1&lt;=5,IF(MOD(INT(($A38-1)/7)+'Calibración de turnos'!$D$25,2)=0,"M2","T2"),"L"),IF(MOD($A38-1,7)+1&lt;=5,IF('Calibración de turnos'!$E$25=13,"M3b","M3a"),"L")))</f>
        <v>L</v>
      </c>
    </row>
    <row r="39" customFormat="false" ht="15" hidden="false" customHeight="false" outlineLevel="0" collapsed="false">
      <c r="A39" s="18" t="n">
        <v>35</v>
      </c>
      <c r="B39" s="18" t="str">
        <f aca="false">CHOOSE(MOD(A39-1,7)+1,"lunes","martes","miércoles","jueves","viernes","sábado","domingo")</f>
        <v>domingo</v>
      </c>
      <c r="C39" s="63" t="str">
        <f aca="false">IF('Calibración de turnos'!$B$6="T1",MID("DDNNLL",MOD($A39-1+'Calibración de turnos'!$D$6,6)+1,1),IF('Calibración de turnos'!$B$6="T2",IF(MOD($A39-1,7)+1&lt;=5,IF(MOD(INT(($A39-1)/7)+'Calibración de turnos'!$D$6,2)=0,"M2","T2"),"L"),IF(MOD($A39-1,7)+1&lt;=5,IF('Calibración de turnos'!$E$6=13,"M3b","M3a"),"L")))</f>
        <v>L</v>
      </c>
      <c r="D39" s="63" t="str">
        <f aca="false">IF('Calibración de turnos'!$B$7="T1",MID("DDNNLL",MOD($A39-1+'Calibración de turnos'!$D$7,6)+1,1),IF('Calibración de turnos'!$B$7="T2",IF(MOD($A39-1,7)+1&lt;=5,IF(MOD(INT(($A39-1)/7)+'Calibración de turnos'!$D$7,2)=0,"M2","T2"),"L"),IF(MOD($A39-1,7)+1&lt;=5,IF('Calibración de turnos'!$E$7=13,"M3b","M3a"),"L")))</f>
        <v>D</v>
      </c>
      <c r="E39" s="63" t="str">
        <f aca="false">IF('Calibración de turnos'!$B$8="T1",MID("DDNNLL",MOD($A39-1+'Calibración de turnos'!$D$8,6)+1,1),IF('Calibración de turnos'!$B$8="T2",IF(MOD($A39-1,7)+1&lt;=5,IF(MOD(INT(($A39-1)/7)+'Calibración de turnos'!$D$8,2)=0,"M2","T2"),"L"),IF(MOD($A39-1,7)+1&lt;=5,IF('Calibración de turnos'!$E$8=13,"M3b","M3a"),"L")))</f>
        <v>L</v>
      </c>
      <c r="F39" s="63" t="str">
        <f aca="false">IF('Calibración de turnos'!$B$9="T1",MID("DDNNLL",MOD($A39-1+'Calibración de turnos'!$D$9,6)+1,1),IF('Calibración de turnos'!$B$9="T2",IF(MOD($A39-1,7)+1&lt;=5,IF(MOD(INT(($A39-1)/7)+'Calibración de turnos'!$D$9,2)=0,"M2","T2"),"L"),IF(MOD($A39-1,7)+1&lt;=5,IF('Calibración de turnos'!$E$9=13,"M3b","M3a"),"L")))</f>
        <v>D</v>
      </c>
      <c r="G39" s="63" t="str">
        <f aca="false">IF('Calibración de turnos'!$B$10="T1",MID("DDNNLL",MOD($A39-1+'Calibración de turnos'!$D$10,6)+1,1),IF('Calibración de turnos'!$B$10="T2",IF(MOD($A39-1,7)+1&lt;=5,IF(MOD(INT(($A39-1)/7)+'Calibración de turnos'!$D$10,2)=0,"M2","T2"),"L"),IF(MOD($A39-1,7)+1&lt;=5,IF('Calibración de turnos'!$E$10=13,"M3b","M3a"),"L")))</f>
        <v>N</v>
      </c>
      <c r="H39" s="63" t="str">
        <f aca="false">IF('Calibración de turnos'!$B$11="T1",MID("DDNNLL",MOD($A39-1+'Calibración de turnos'!$D$11,6)+1,1),IF('Calibración de turnos'!$B$11="T2",IF(MOD($A39-1,7)+1&lt;=5,IF(MOD(INT(($A39-1)/7)+'Calibración de turnos'!$D$11,2)=0,"M2","T2"),"L"),IF(MOD($A39-1,7)+1&lt;=5,IF('Calibración de turnos'!$E$11=13,"M3b","M3a"),"L")))</f>
        <v>N</v>
      </c>
      <c r="I39" s="63" t="str">
        <f aca="false">IF('Calibración de turnos'!$B$12="T1",MID("DDNNLL",MOD($A39-1+'Calibración de turnos'!$D$12,6)+1,1),IF('Calibración de turnos'!$B$12="T2",IF(MOD($A39-1,7)+1&lt;=5,IF(MOD(INT(($A39-1)/7)+'Calibración de turnos'!$D$12,2)=0,"M2","T2"),"L"),IF(MOD($A39-1,7)+1&lt;=5,IF('Calibración de turnos'!$E$12=13,"M3b","M3a"),"L")))</f>
        <v>L</v>
      </c>
      <c r="J39" s="63" t="str">
        <f aca="false">IF('Calibración de turnos'!$B$13="T1",MID("DDNNLL",MOD($A39-1+'Calibración de turnos'!$D$13,6)+1,1),IF('Calibración de turnos'!$B$13="T2",IF(MOD($A39-1,7)+1&lt;=5,IF(MOD(INT(($A39-1)/7)+'Calibración de turnos'!$D$13,2)=0,"M2","T2"),"L"),IF(MOD($A39-1,7)+1&lt;=5,IF('Calibración de turnos'!$E$13=13,"M3b","M3a"),"L")))</f>
        <v>L</v>
      </c>
      <c r="K39" s="63" t="str">
        <f aca="false">IF('Calibración de turnos'!$B$14="T1",MID("DDNNLL",MOD($A39-1+'Calibración de turnos'!$D$14,6)+1,1),IF('Calibración de turnos'!$B$14="T2",IF(MOD($A39-1,7)+1&lt;=5,IF(MOD(INT(($A39-1)/7)+'Calibración de turnos'!$D$14,2)=0,"M2","T2"),"L"),IF(MOD($A39-1,7)+1&lt;=5,IF('Calibración de turnos'!$E$14=13,"M3b","M3a"),"L")))</f>
        <v>L</v>
      </c>
      <c r="L39" s="63" t="str">
        <f aca="false">IF('Calibración de turnos'!$B$15="T1",MID("DDNNLL",MOD($A39-1+'Calibración de turnos'!$D$15,6)+1,1),IF('Calibración de turnos'!$B$15="T2",IF(MOD($A39-1,7)+1&lt;=5,IF(MOD(INT(($A39-1)/7)+'Calibración de turnos'!$D$15,2)=0,"M2","T2"),"L"),IF(MOD($A39-1,7)+1&lt;=5,IF('Calibración de turnos'!$E$15=13,"M3b","M3a"),"L")))</f>
        <v>L</v>
      </c>
      <c r="M39" s="63" t="str">
        <f aca="false">IF('Calibración de turnos'!$B$16="T1",MID("DDNNLL",MOD($A39-1+'Calibración de turnos'!$D$16,6)+1,1),IF('Calibración de turnos'!$B$16="T2",IF(MOD($A39-1,7)+1&lt;=5,IF(MOD(INT(($A39-1)/7)+'Calibración de turnos'!$D$16,2)=0,"M2","T2"),"L"),IF(MOD($A39-1,7)+1&lt;=5,IF('Calibración de turnos'!$E$16=13,"M3b","M3a"),"L")))</f>
        <v>L</v>
      </c>
      <c r="N39" s="63" t="str">
        <f aca="false">IF('Calibración de turnos'!$B$17="T1",MID("DDNNLL",MOD($A39-1+'Calibración de turnos'!$D$17,6)+1,1),IF('Calibración de turnos'!$B$17="T2",IF(MOD($A39-1,7)+1&lt;=5,IF(MOD(INT(($A39-1)/7)+'Calibración de turnos'!$D$17,2)=0,"M2","T2"),"L"),IF(MOD($A39-1,7)+1&lt;=5,IF('Calibración de turnos'!$E$17=13,"M3b","M3a"),"L")))</f>
        <v>L</v>
      </c>
      <c r="O39" s="63" t="str">
        <f aca="false">IF('Calibración de turnos'!$B$18="T1",MID("DDNNLL",MOD($A39-1+'Calibración de turnos'!$D$18,6)+1,1),IF('Calibración de turnos'!$B$18="T2",IF(MOD($A39-1,7)+1&lt;=5,IF(MOD(INT(($A39-1)/7)+'Calibración de turnos'!$D$18,2)=0,"M2","T2"),"L"),IF(MOD($A39-1,7)+1&lt;=5,IF('Calibración de turnos'!$E$18=13,"M3b","M3a"),"L")))</f>
        <v>L</v>
      </c>
      <c r="P39" s="63" t="str">
        <f aca="false">IF('Calibración de turnos'!$B$19="T1",MID("DDNNLL",MOD($A39-1+'Calibración de turnos'!$D$19,6)+1,1),IF('Calibración de turnos'!$B$19="T2",IF(MOD($A39-1,7)+1&lt;=5,IF(MOD(INT(($A39-1)/7)+'Calibración de turnos'!$D$19,2)=0,"M2","T2"),"L"),IF(MOD($A39-1,7)+1&lt;=5,IF('Calibración de turnos'!$E$19=13,"M3b","M3a"),"L")))</f>
        <v>L</v>
      </c>
      <c r="Q39" s="63" t="str">
        <f aca="false">IF('Calibración de turnos'!$B$20="T1",MID("DDNNLL",MOD($A39-1+'Calibración de turnos'!$D$20,6)+1,1),IF('Calibración de turnos'!$B$20="T2",IF(MOD($A39-1,7)+1&lt;=5,IF(MOD(INT(($A39-1)/7)+'Calibración de turnos'!$D$20,2)=0,"M2","T2"),"L"),IF(MOD($A39-1,7)+1&lt;=5,IF('Calibración de turnos'!$E$20=13,"M3b","M3a"),"L")))</f>
        <v>L</v>
      </c>
      <c r="R39" s="63" t="str">
        <f aca="false">IF('Calibración de turnos'!$B$21="T1",MID("DDNNLL",MOD($A39-1+'Calibración de turnos'!$D$21,6)+1,1),IF('Calibración de turnos'!$B$21="T2",IF(MOD($A39-1,7)+1&lt;=5,IF(MOD(INT(($A39-1)/7)+'Calibración de turnos'!$D$21,2)=0,"M2","T2"),"L"),IF(MOD($A39-1,7)+1&lt;=5,IF('Calibración de turnos'!$E$21=13,"M3b","M3a"),"L")))</f>
        <v>L</v>
      </c>
      <c r="S39" s="63" t="str">
        <f aca="false">IF('Calibración de turnos'!$B$22="T1",MID("DDNNLL",MOD($A39-1+'Calibración de turnos'!$D$22,6)+1,1),IF('Calibración de turnos'!$B$22="T2",IF(MOD($A39-1,7)+1&lt;=5,IF(MOD(INT(($A39-1)/7)+'Calibración de turnos'!$D$22,2)=0,"M2","T2"),"L"),IF(MOD($A39-1,7)+1&lt;=5,IF('Calibración de turnos'!$E$22=13,"M3b","M3a"),"L")))</f>
        <v>L</v>
      </c>
      <c r="T39" s="63" t="str">
        <f aca="false">IF('Calibración de turnos'!$B$23="T1",MID("DDNNLL",MOD($A39-1+'Calibración de turnos'!$D$23,6)+1,1),IF('Calibración de turnos'!$B$23="T2",IF(MOD($A39-1,7)+1&lt;=5,IF(MOD(INT(($A39-1)/7)+'Calibración de turnos'!$D$23,2)=0,"M2","T2"),"L"),IF(MOD($A39-1,7)+1&lt;=5,IF('Calibración de turnos'!$E$23=13,"M3b","M3a"),"L")))</f>
        <v>L</v>
      </c>
      <c r="U39" s="63" t="str">
        <f aca="false">IF('Calibración de turnos'!$B$24="T1",MID("DDNNLL",MOD($A39-1+'Calibración de turnos'!$D$24,6)+1,1),IF('Calibración de turnos'!$B$24="T2",IF(MOD($A39-1,7)+1&lt;=5,IF(MOD(INT(($A39-1)/7)+'Calibración de turnos'!$D$24,2)=0,"M2","T2"),"L"),IF(MOD($A39-1,7)+1&lt;=5,IF('Calibración de turnos'!$E$24=13,"M3b","M3a"),"L")))</f>
        <v>L</v>
      </c>
      <c r="V39" s="63" t="str">
        <f aca="false">IF('Calibración de turnos'!$B$25="T1",MID("DDNNLL",MOD($A39-1+'Calibración de turnos'!$D$25,6)+1,1),IF('Calibración de turnos'!$B$25="T2",IF(MOD($A39-1,7)+1&lt;=5,IF(MOD(INT(($A39-1)/7)+'Calibración de turnos'!$D$25,2)=0,"M2","T2"),"L"),IF(MOD($A39-1,7)+1&lt;=5,IF('Calibración de turnos'!$E$25=13,"M3b","M3a"),"L")))</f>
        <v>L</v>
      </c>
    </row>
    <row r="40" customFormat="false" ht="15" hidden="false" customHeight="false" outlineLevel="0" collapsed="false">
      <c r="A40" s="18" t="n">
        <v>36</v>
      </c>
      <c r="B40" s="18" t="str">
        <f aca="false">CHOOSE(MOD(A40-1,7)+1,"lunes","martes","miércoles","jueves","viernes","sábado","domingo")</f>
        <v>lunes</v>
      </c>
      <c r="C40" s="63" t="str">
        <f aca="false">IF('Calibración de turnos'!$B$6="T1",MID("DDNNLL",MOD($A40-1+'Calibración de turnos'!$D$6,6)+1,1),IF('Calibración de turnos'!$B$6="T2",IF(MOD($A40-1,7)+1&lt;=5,IF(MOD(INT(($A40-1)/7)+'Calibración de turnos'!$D$6,2)=0,"M2","T2"),"L"),IF(MOD($A40-1,7)+1&lt;=5,IF('Calibración de turnos'!$E$6=13,"M3b","M3a"),"L")))</f>
        <v>L</v>
      </c>
      <c r="D40" s="63" t="str">
        <f aca="false">IF('Calibración de turnos'!$B$7="T1",MID("DDNNLL",MOD($A40-1+'Calibración de turnos'!$D$7,6)+1,1),IF('Calibración de turnos'!$B$7="T2",IF(MOD($A40-1,7)+1&lt;=5,IF(MOD(INT(($A40-1)/7)+'Calibración de turnos'!$D$7,2)=0,"M2","T2"),"L"),IF(MOD($A40-1,7)+1&lt;=5,IF('Calibración de turnos'!$E$7=13,"M3b","M3a"),"L")))</f>
        <v>D</v>
      </c>
      <c r="E40" s="63" t="str">
        <f aca="false">IF('Calibración de turnos'!$B$8="T1",MID("DDNNLL",MOD($A40-1+'Calibración de turnos'!$D$8,6)+1,1),IF('Calibración de turnos'!$B$8="T2",IF(MOD($A40-1,7)+1&lt;=5,IF(MOD(INT(($A40-1)/7)+'Calibración de turnos'!$D$8,2)=0,"M2","T2"),"L"),IF(MOD($A40-1,7)+1&lt;=5,IF('Calibración de turnos'!$E$8=13,"M3b","M3a"),"L")))</f>
        <v>L</v>
      </c>
      <c r="F40" s="63" t="str">
        <f aca="false">IF('Calibración de turnos'!$B$9="T1",MID("DDNNLL",MOD($A40-1+'Calibración de turnos'!$D$9,6)+1,1),IF('Calibración de turnos'!$B$9="T2",IF(MOD($A40-1,7)+1&lt;=5,IF(MOD(INT(($A40-1)/7)+'Calibración de turnos'!$D$9,2)=0,"M2","T2"),"L"),IF(MOD($A40-1,7)+1&lt;=5,IF('Calibración de turnos'!$E$9=13,"M3b","M3a"),"L")))</f>
        <v>D</v>
      </c>
      <c r="G40" s="63" t="str">
        <f aca="false">IF('Calibración de turnos'!$B$10="T1",MID("DDNNLL",MOD($A40-1+'Calibración de turnos'!$D$10,6)+1,1),IF('Calibración de turnos'!$B$10="T2",IF(MOD($A40-1,7)+1&lt;=5,IF(MOD(INT(($A40-1)/7)+'Calibración de turnos'!$D$10,2)=0,"M2","T2"),"L"),IF(MOD($A40-1,7)+1&lt;=5,IF('Calibración de turnos'!$E$10=13,"M3b","M3a"),"L")))</f>
        <v>N</v>
      </c>
      <c r="H40" s="63" t="str">
        <f aca="false">IF('Calibración de turnos'!$B$11="T1",MID("DDNNLL",MOD($A40-1+'Calibración de turnos'!$D$11,6)+1,1),IF('Calibración de turnos'!$B$11="T2",IF(MOD($A40-1,7)+1&lt;=5,IF(MOD(INT(($A40-1)/7)+'Calibración de turnos'!$D$11,2)=0,"M2","T2"),"L"),IF(MOD($A40-1,7)+1&lt;=5,IF('Calibración de turnos'!$E$11=13,"M3b","M3a"),"L")))</f>
        <v>N</v>
      </c>
      <c r="I40" s="63" t="str">
        <f aca="false">IF('Calibración de turnos'!$B$12="T1",MID("DDNNLL",MOD($A40-1+'Calibración de turnos'!$D$12,6)+1,1),IF('Calibración de turnos'!$B$12="T2",IF(MOD($A40-1,7)+1&lt;=5,IF(MOD(INT(($A40-1)/7)+'Calibración de turnos'!$D$12,2)=0,"M2","T2"),"L"),IF(MOD($A40-1,7)+1&lt;=5,IF('Calibración de turnos'!$E$12=13,"M3b","M3a"),"L")))</f>
        <v>T2</v>
      </c>
      <c r="J40" s="63" t="str">
        <f aca="false">IF('Calibración de turnos'!$B$13="T1",MID("DDNNLL",MOD($A40-1+'Calibración de turnos'!$D$13,6)+1,1),IF('Calibración de turnos'!$B$13="T2",IF(MOD($A40-1,7)+1&lt;=5,IF(MOD(INT(($A40-1)/7)+'Calibración de turnos'!$D$13,2)=0,"M2","T2"),"L"),IF(MOD($A40-1,7)+1&lt;=5,IF('Calibración de turnos'!$E$13=13,"M3b","M3a"),"L")))</f>
        <v>M2</v>
      </c>
      <c r="K40" s="63" t="str">
        <f aca="false">IF('Calibración de turnos'!$B$14="T1",MID("DDNNLL",MOD($A40-1+'Calibración de turnos'!$D$14,6)+1,1),IF('Calibración de turnos'!$B$14="T2",IF(MOD($A40-1,7)+1&lt;=5,IF(MOD(INT(($A40-1)/7)+'Calibración de turnos'!$D$14,2)=0,"M2","T2"),"L"),IF(MOD($A40-1,7)+1&lt;=5,IF('Calibración de turnos'!$E$14=13,"M3b","M3a"),"L")))</f>
        <v>T2</v>
      </c>
      <c r="L40" s="63" t="str">
        <f aca="false">IF('Calibración de turnos'!$B$15="T1",MID("DDNNLL",MOD($A40-1+'Calibración de turnos'!$D$15,6)+1,1),IF('Calibración de turnos'!$B$15="T2",IF(MOD($A40-1,7)+1&lt;=5,IF(MOD(INT(($A40-1)/7)+'Calibración de turnos'!$D$15,2)=0,"M2","T2"),"L"),IF(MOD($A40-1,7)+1&lt;=5,IF('Calibración de turnos'!$E$15=13,"M3b","M3a"),"L")))</f>
        <v>M2</v>
      </c>
      <c r="M40" s="63" t="str">
        <f aca="false">IF('Calibración de turnos'!$B$16="T1",MID("DDNNLL",MOD($A40-1+'Calibración de turnos'!$D$16,6)+1,1),IF('Calibración de turnos'!$B$16="T2",IF(MOD($A40-1,7)+1&lt;=5,IF(MOD(INT(($A40-1)/7)+'Calibración de turnos'!$D$16,2)=0,"M2","T2"),"L"),IF(MOD($A40-1,7)+1&lt;=5,IF('Calibración de turnos'!$E$16=13,"M3b","M3a"),"L")))</f>
        <v>M3a</v>
      </c>
      <c r="N40" s="63" t="str">
        <f aca="false">IF('Calibración de turnos'!$B$17="T1",MID("DDNNLL",MOD($A40-1+'Calibración de turnos'!$D$17,6)+1,1),IF('Calibración de turnos'!$B$17="T2",IF(MOD($A40-1,7)+1&lt;=5,IF(MOD(INT(($A40-1)/7)+'Calibración de turnos'!$D$17,2)=0,"M2","T2"),"L"),IF(MOD($A40-1,7)+1&lt;=5,IF('Calibración de turnos'!$E$17=13,"M3b","M3a"),"L")))</f>
        <v>M3a</v>
      </c>
      <c r="O40" s="63" t="str">
        <f aca="false">IF('Calibración de turnos'!$B$18="T1",MID("DDNNLL",MOD($A40-1+'Calibración de turnos'!$D$18,6)+1,1),IF('Calibración de turnos'!$B$18="T2",IF(MOD($A40-1,7)+1&lt;=5,IF(MOD(INT(($A40-1)/7)+'Calibración de turnos'!$D$18,2)=0,"M2","T2"),"L"),IF(MOD($A40-1,7)+1&lt;=5,IF('Calibración de turnos'!$E$18=13,"M3b","M3a"),"L")))</f>
        <v>M3b</v>
      </c>
      <c r="P40" s="63" t="str">
        <f aca="false">IF('Calibración de turnos'!$B$19="T1",MID("DDNNLL",MOD($A40-1+'Calibración de turnos'!$D$19,6)+1,1),IF('Calibración de turnos'!$B$19="T2",IF(MOD($A40-1,7)+1&lt;=5,IF(MOD(INT(($A40-1)/7)+'Calibración de turnos'!$D$19,2)=0,"M2","T2"),"L"),IF(MOD($A40-1,7)+1&lt;=5,IF('Calibración de turnos'!$E$19=13,"M3b","M3a"),"L")))</f>
        <v>M3a</v>
      </c>
      <c r="Q40" s="63" t="str">
        <f aca="false">IF('Calibración de turnos'!$B$20="T1",MID("DDNNLL",MOD($A40-1+'Calibración de turnos'!$D$20,6)+1,1),IF('Calibración de turnos'!$B$20="T2",IF(MOD($A40-1,7)+1&lt;=5,IF(MOD(INT(($A40-1)/7)+'Calibración de turnos'!$D$20,2)=0,"M2","T2"),"L"),IF(MOD($A40-1,7)+1&lt;=5,IF('Calibración de turnos'!$E$20=13,"M3b","M3a"),"L")))</f>
        <v>M3b</v>
      </c>
      <c r="R40" s="63" t="str">
        <f aca="false">IF('Calibración de turnos'!$B$21="T1",MID("DDNNLL",MOD($A40-1+'Calibración de turnos'!$D$21,6)+1,1),IF('Calibración de turnos'!$B$21="T2",IF(MOD($A40-1,7)+1&lt;=5,IF(MOD(INT(($A40-1)/7)+'Calibración de turnos'!$D$21,2)=0,"M2","T2"),"L"),IF(MOD($A40-1,7)+1&lt;=5,IF('Calibración de turnos'!$E$21=13,"M3b","M3a"),"L")))</f>
        <v>M3b</v>
      </c>
      <c r="S40" s="63" t="str">
        <f aca="false">IF('Calibración de turnos'!$B$22="T1",MID("DDNNLL",MOD($A40-1+'Calibración de turnos'!$D$22,6)+1,1),IF('Calibración de turnos'!$B$22="T2",IF(MOD($A40-1,7)+1&lt;=5,IF(MOD(INT(($A40-1)/7)+'Calibración de turnos'!$D$22,2)=0,"M2","T2"),"L"),IF(MOD($A40-1,7)+1&lt;=5,IF('Calibración de turnos'!$E$22=13,"M3b","M3a"),"L")))</f>
        <v>M3a</v>
      </c>
      <c r="T40" s="63" t="str">
        <f aca="false">IF('Calibración de turnos'!$B$23="T1",MID("DDNNLL",MOD($A40-1+'Calibración de turnos'!$D$23,6)+1,1),IF('Calibración de turnos'!$B$23="T2",IF(MOD($A40-1,7)+1&lt;=5,IF(MOD(INT(($A40-1)/7)+'Calibración de turnos'!$D$23,2)=0,"M2","T2"),"L"),IF(MOD($A40-1,7)+1&lt;=5,IF('Calibración de turnos'!$E$23=13,"M3b","M3a"),"L")))</f>
        <v>M3b</v>
      </c>
      <c r="U40" s="63" t="str">
        <f aca="false">IF('Calibración de turnos'!$B$24="T1",MID("DDNNLL",MOD($A40-1+'Calibración de turnos'!$D$24,6)+1,1),IF('Calibración de turnos'!$B$24="T2",IF(MOD($A40-1,7)+1&lt;=5,IF(MOD(INT(($A40-1)/7)+'Calibración de turnos'!$D$24,2)=0,"M2","T2"),"L"),IF(MOD($A40-1,7)+1&lt;=5,IF('Calibración de turnos'!$E$24=13,"M3b","M3a"),"L")))</f>
        <v>M3a</v>
      </c>
      <c r="V40" s="63" t="str">
        <f aca="false">IF('Calibración de turnos'!$B$25="T1",MID("DDNNLL",MOD($A40-1+'Calibración de turnos'!$D$25,6)+1,1),IF('Calibración de turnos'!$B$25="T2",IF(MOD($A40-1,7)+1&lt;=5,IF(MOD(INT(($A40-1)/7)+'Calibración de turnos'!$D$25,2)=0,"M2","T2"),"L"),IF(MOD($A40-1,7)+1&lt;=5,IF('Calibración de turnos'!$E$25=13,"M3b","M3a"),"L")))</f>
        <v>M3b</v>
      </c>
    </row>
    <row r="41" customFormat="false" ht="15" hidden="false" customHeight="false" outlineLevel="0" collapsed="false">
      <c r="A41" s="18" t="n">
        <v>37</v>
      </c>
      <c r="B41" s="18" t="str">
        <f aca="false">CHOOSE(MOD(A41-1,7)+1,"lunes","martes","miércoles","jueves","viernes","sábado","domingo")</f>
        <v>martes</v>
      </c>
      <c r="C41" s="63" t="str">
        <f aca="false">IF('Calibración de turnos'!$B$6="T1",MID("DDNNLL",MOD($A41-1+'Calibración de turnos'!$D$6,6)+1,1),IF('Calibración de turnos'!$B$6="T2",IF(MOD($A41-1,7)+1&lt;=5,IF(MOD(INT(($A41-1)/7)+'Calibración de turnos'!$D$6,2)=0,"M2","T2"),"L"),IF(MOD($A41-1,7)+1&lt;=5,IF('Calibración de turnos'!$E$6=13,"M3b","M3a"),"L")))</f>
        <v>D</v>
      </c>
      <c r="D41" s="63" t="str">
        <f aca="false">IF('Calibración de turnos'!$B$7="T1",MID("DDNNLL",MOD($A41-1+'Calibración de turnos'!$D$7,6)+1,1),IF('Calibración de turnos'!$B$7="T2",IF(MOD($A41-1,7)+1&lt;=5,IF(MOD(INT(($A41-1)/7)+'Calibración de turnos'!$D$7,2)=0,"M2","T2"),"L"),IF(MOD($A41-1,7)+1&lt;=5,IF('Calibración de turnos'!$E$7=13,"M3b","M3a"),"L")))</f>
        <v>N</v>
      </c>
      <c r="E41" s="63" t="str">
        <f aca="false">IF('Calibración de turnos'!$B$8="T1",MID("DDNNLL",MOD($A41-1+'Calibración de turnos'!$D$8,6)+1,1),IF('Calibración de turnos'!$B$8="T2",IF(MOD($A41-1,7)+1&lt;=5,IF(MOD(INT(($A41-1)/7)+'Calibración de turnos'!$D$8,2)=0,"M2","T2"),"L"),IF(MOD($A41-1,7)+1&lt;=5,IF('Calibración de turnos'!$E$8=13,"M3b","M3a"),"L")))</f>
        <v>D</v>
      </c>
      <c r="F41" s="63" t="str">
        <f aca="false">IF('Calibración de turnos'!$B$9="T1",MID("DDNNLL",MOD($A41-1+'Calibración de turnos'!$D$9,6)+1,1),IF('Calibración de turnos'!$B$9="T2",IF(MOD($A41-1,7)+1&lt;=5,IF(MOD(INT(($A41-1)/7)+'Calibración de turnos'!$D$9,2)=0,"M2","T2"),"L"),IF(MOD($A41-1,7)+1&lt;=5,IF('Calibración de turnos'!$E$9=13,"M3b","M3a"),"L")))</f>
        <v>N</v>
      </c>
      <c r="G41" s="63" t="str">
        <f aca="false">IF('Calibración de turnos'!$B$10="T1",MID("DDNNLL",MOD($A41-1+'Calibración de turnos'!$D$10,6)+1,1),IF('Calibración de turnos'!$B$10="T2",IF(MOD($A41-1,7)+1&lt;=5,IF(MOD(INT(($A41-1)/7)+'Calibración de turnos'!$D$10,2)=0,"M2","T2"),"L"),IF(MOD($A41-1,7)+1&lt;=5,IF('Calibración de turnos'!$E$10=13,"M3b","M3a"),"L")))</f>
        <v>L</v>
      </c>
      <c r="H41" s="63" t="str">
        <f aca="false">IF('Calibración de turnos'!$B$11="T1",MID("DDNNLL",MOD($A41-1+'Calibración de turnos'!$D$11,6)+1,1),IF('Calibración de turnos'!$B$11="T2",IF(MOD($A41-1,7)+1&lt;=5,IF(MOD(INT(($A41-1)/7)+'Calibración de turnos'!$D$11,2)=0,"M2","T2"),"L"),IF(MOD($A41-1,7)+1&lt;=5,IF('Calibración de turnos'!$E$11=13,"M3b","M3a"),"L")))</f>
        <v>L</v>
      </c>
      <c r="I41" s="63" t="str">
        <f aca="false">IF('Calibración de turnos'!$B$12="T1",MID("DDNNLL",MOD($A41-1+'Calibración de turnos'!$D$12,6)+1,1),IF('Calibración de turnos'!$B$12="T2",IF(MOD($A41-1,7)+1&lt;=5,IF(MOD(INT(($A41-1)/7)+'Calibración de turnos'!$D$12,2)=0,"M2","T2"),"L"),IF(MOD($A41-1,7)+1&lt;=5,IF('Calibración de turnos'!$E$12=13,"M3b","M3a"),"L")))</f>
        <v>T2</v>
      </c>
      <c r="J41" s="63" t="str">
        <f aca="false">IF('Calibración de turnos'!$B$13="T1",MID("DDNNLL",MOD($A41-1+'Calibración de turnos'!$D$13,6)+1,1),IF('Calibración de turnos'!$B$13="T2",IF(MOD($A41-1,7)+1&lt;=5,IF(MOD(INT(($A41-1)/7)+'Calibración de turnos'!$D$13,2)=0,"M2","T2"),"L"),IF(MOD($A41-1,7)+1&lt;=5,IF('Calibración de turnos'!$E$13=13,"M3b","M3a"),"L")))</f>
        <v>M2</v>
      </c>
      <c r="K41" s="63" t="str">
        <f aca="false">IF('Calibración de turnos'!$B$14="T1",MID("DDNNLL",MOD($A41-1+'Calibración de turnos'!$D$14,6)+1,1),IF('Calibración de turnos'!$B$14="T2",IF(MOD($A41-1,7)+1&lt;=5,IF(MOD(INT(($A41-1)/7)+'Calibración de turnos'!$D$14,2)=0,"M2","T2"),"L"),IF(MOD($A41-1,7)+1&lt;=5,IF('Calibración de turnos'!$E$14=13,"M3b","M3a"),"L")))</f>
        <v>T2</v>
      </c>
      <c r="L41" s="63" t="str">
        <f aca="false">IF('Calibración de turnos'!$B$15="T1",MID("DDNNLL",MOD($A41-1+'Calibración de turnos'!$D$15,6)+1,1),IF('Calibración de turnos'!$B$15="T2",IF(MOD($A41-1,7)+1&lt;=5,IF(MOD(INT(($A41-1)/7)+'Calibración de turnos'!$D$15,2)=0,"M2","T2"),"L"),IF(MOD($A41-1,7)+1&lt;=5,IF('Calibración de turnos'!$E$15=13,"M3b","M3a"),"L")))</f>
        <v>M2</v>
      </c>
      <c r="M41" s="63" t="str">
        <f aca="false">IF('Calibración de turnos'!$B$16="T1",MID("DDNNLL",MOD($A41-1+'Calibración de turnos'!$D$16,6)+1,1),IF('Calibración de turnos'!$B$16="T2",IF(MOD($A41-1,7)+1&lt;=5,IF(MOD(INT(($A41-1)/7)+'Calibración de turnos'!$D$16,2)=0,"M2","T2"),"L"),IF(MOD($A41-1,7)+1&lt;=5,IF('Calibración de turnos'!$E$16=13,"M3b","M3a"),"L")))</f>
        <v>M3a</v>
      </c>
      <c r="N41" s="63" t="str">
        <f aca="false">IF('Calibración de turnos'!$B$17="T1",MID("DDNNLL",MOD($A41-1+'Calibración de turnos'!$D$17,6)+1,1),IF('Calibración de turnos'!$B$17="T2",IF(MOD($A41-1,7)+1&lt;=5,IF(MOD(INT(($A41-1)/7)+'Calibración de turnos'!$D$17,2)=0,"M2","T2"),"L"),IF(MOD($A41-1,7)+1&lt;=5,IF('Calibración de turnos'!$E$17=13,"M3b","M3a"),"L")))</f>
        <v>M3a</v>
      </c>
      <c r="O41" s="63" t="str">
        <f aca="false">IF('Calibración de turnos'!$B$18="T1",MID("DDNNLL",MOD($A41-1+'Calibración de turnos'!$D$18,6)+1,1),IF('Calibración de turnos'!$B$18="T2",IF(MOD($A41-1,7)+1&lt;=5,IF(MOD(INT(($A41-1)/7)+'Calibración de turnos'!$D$18,2)=0,"M2","T2"),"L"),IF(MOD($A41-1,7)+1&lt;=5,IF('Calibración de turnos'!$E$18=13,"M3b","M3a"),"L")))</f>
        <v>M3b</v>
      </c>
      <c r="P41" s="63" t="str">
        <f aca="false">IF('Calibración de turnos'!$B$19="T1",MID("DDNNLL",MOD($A41-1+'Calibración de turnos'!$D$19,6)+1,1),IF('Calibración de turnos'!$B$19="T2",IF(MOD($A41-1,7)+1&lt;=5,IF(MOD(INT(($A41-1)/7)+'Calibración de turnos'!$D$19,2)=0,"M2","T2"),"L"),IF(MOD($A41-1,7)+1&lt;=5,IF('Calibración de turnos'!$E$19=13,"M3b","M3a"),"L")))</f>
        <v>M3a</v>
      </c>
      <c r="Q41" s="63" t="str">
        <f aca="false">IF('Calibración de turnos'!$B$20="T1",MID("DDNNLL",MOD($A41-1+'Calibración de turnos'!$D$20,6)+1,1),IF('Calibración de turnos'!$B$20="T2",IF(MOD($A41-1,7)+1&lt;=5,IF(MOD(INT(($A41-1)/7)+'Calibración de turnos'!$D$20,2)=0,"M2","T2"),"L"),IF(MOD($A41-1,7)+1&lt;=5,IF('Calibración de turnos'!$E$20=13,"M3b","M3a"),"L")))</f>
        <v>M3b</v>
      </c>
      <c r="R41" s="63" t="str">
        <f aca="false">IF('Calibración de turnos'!$B$21="T1",MID("DDNNLL",MOD($A41-1+'Calibración de turnos'!$D$21,6)+1,1),IF('Calibración de turnos'!$B$21="T2",IF(MOD($A41-1,7)+1&lt;=5,IF(MOD(INT(($A41-1)/7)+'Calibración de turnos'!$D$21,2)=0,"M2","T2"),"L"),IF(MOD($A41-1,7)+1&lt;=5,IF('Calibración de turnos'!$E$21=13,"M3b","M3a"),"L")))</f>
        <v>M3b</v>
      </c>
      <c r="S41" s="63" t="str">
        <f aca="false">IF('Calibración de turnos'!$B$22="T1",MID("DDNNLL",MOD($A41-1+'Calibración de turnos'!$D$22,6)+1,1),IF('Calibración de turnos'!$B$22="T2",IF(MOD($A41-1,7)+1&lt;=5,IF(MOD(INT(($A41-1)/7)+'Calibración de turnos'!$D$22,2)=0,"M2","T2"),"L"),IF(MOD($A41-1,7)+1&lt;=5,IF('Calibración de turnos'!$E$22=13,"M3b","M3a"),"L")))</f>
        <v>M3a</v>
      </c>
      <c r="T41" s="63" t="str">
        <f aca="false">IF('Calibración de turnos'!$B$23="T1",MID("DDNNLL",MOD($A41-1+'Calibración de turnos'!$D$23,6)+1,1),IF('Calibración de turnos'!$B$23="T2",IF(MOD($A41-1,7)+1&lt;=5,IF(MOD(INT(($A41-1)/7)+'Calibración de turnos'!$D$23,2)=0,"M2","T2"),"L"),IF(MOD($A41-1,7)+1&lt;=5,IF('Calibración de turnos'!$E$23=13,"M3b","M3a"),"L")))</f>
        <v>M3b</v>
      </c>
      <c r="U41" s="63" t="str">
        <f aca="false">IF('Calibración de turnos'!$B$24="T1",MID("DDNNLL",MOD($A41-1+'Calibración de turnos'!$D$24,6)+1,1),IF('Calibración de turnos'!$B$24="T2",IF(MOD($A41-1,7)+1&lt;=5,IF(MOD(INT(($A41-1)/7)+'Calibración de turnos'!$D$24,2)=0,"M2","T2"),"L"),IF(MOD($A41-1,7)+1&lt;=5,IF('Calibración de turnos'!$E$24=13,"M3b","M3a"),"L")))</f>
        <v>M3a</v>
      </c>
      <c r="V41" s="63" t="str">
        <f aca="false">IF('Calibración de turnos'!$B$25="T1",MID("DDNNLL",MOD($A41-1+'Calibración de turnos'!$D$25,6)+1,1),IF('Calibración de turnos'!$B$25="T2",IF(MOD($A41-1,7)+1&lt;=5,IF(MOD(INT(($A41-1)/7)+'Calibración de turnos'!$D$25,2)=0,"M2","T2"),"L"),IF(MOD($A41-1,7)+1&lt;=5,IF('Calibración de turnos'!$E$25=13,"M3b","M3a"),"L")))</f>
        <v>M3b</v>
      </c>
    </row>
    <row r="42" customFormat="false" ht="15" hidden="false" customHeight="false" outlineLevel="0" collapsed="false">
      <c r="A42" s="18" t="n">
        <v>38</v>
      </c>
      <c r="B42" s="18" t="str">
        <f aca="false">CHOOSE(MOD(A42-1,7)+1,"lunes","martes","miércoles","jueves","viernes","sábado","domingo")</f>
        <v>miércoles</v>
      </c>
      <c r="C42" s="63" t="str">
        <f aca="false">IF('Calibración de turnos'!$B$6="T1",MID("DDNNLL",MOD($A42-1+'Calibración de turnos'!$D$6,6)+1,1),IF('Calibración de turnos'!$B$6="T2",IF(MOD($A42-1,7)+1&lt;=5,IF(MOD(INT(($A42-1)/7)+'Calibración de turnos'!$D$6,2)=0,"M2","T2"),"L"),IF(MOD($A42-1,7)+1&lt;=5,IF('Calibración de turnos'!$E$6=13,"M3b","M3a"),"L")))</f>
        <v>D</v>
      </c>
      <c r="D42" s="63" t="str">
        <f aca="false">IF('Calibración de turnos'!$B$7="T1",MID("DDNNLL",MOD($A42-1+'Calibración de turnos'!$D$7,6)+1,1),IF('Calibración de turnos'!$B$7="T2",IF(MOD($A42-1,7)+1&lt;=5,IF(MOD(INT(($A42-1)/7)+'Calibración de turnos'!$D$7,2)=0,"M2","T2"),"L"),IF(MOD($A42-1,7)+1&lt;=5,IF('Calibración de turnos'!$E$7=13,"M3b","M3a"),"L")))</f>
        <v>N</v>
      </c>
      <c r="E42" s="63" t="str">
        <f aca="false">IF('Calibración de turnos'!$B$8="T1",MID("DDNNLL",MOD($A42-1+'Calibración de turnos'!$D$8,6)+1,1),IF('Calibración de turnos'!$B$8="T2",IF(MOD($A42-1,7)+1&lt;=5,IF(MOD(INT(($A42-1)/7)+'Calibración de turnos'!$D$8,2)=0,"M2","T2"),"L"),IF(MOD($A42-1,7)+1&lt;=5,IF('Calibración de turnos'!$E$8=13,"M3b","M3a"),"L")))</f>
        <v>D</v>
      </c>
      <c r="F42" s="63" t="str">
        <f aca="false">IF('Calibración de turnos'!$B$9="T1",MID("DDNNLL",MOD($A42-1+'Calibración de turnos'!$D$9,6)+1,1),IF('Calibración de turnos'!$B$9="T2",IF(MOD($A42-1,7)+1&lt;=5,IF(MOD(INT(($A42-1)/7)+'Calibración de turnos'!$D$9,2)=0,"M2","T2"),"L"),IF(MOD($A42-1,7)+1&lt;=5,IF('Calibración de turnos'!$E$9=13,"M3b","M3a"),"L")))</f>
        <v>N</v>
      </c>
      <c r="G42" s="63" t="str">
        <f aca="false">IF('Calibración de turnos'!$B$10="T1",MID("DDNNLL",MOD($A42-1+'Calibración de turnos'!$D$10,6)+1,1),IF('Calibración de turnos'!$B$10="T2",IF(MOD($A42-1,7)+1&lt;=5,IF(MOD(INT(($A42-1)/7)+'Calibración de turnos'!$D$10,2)=0,"M2","T2"),"L"),IF(MOD($A42-1,7)+1&lt;=5,IF('Calibración de turnos'!$E$10=13,"M3b","M3a"),"L")))</f>
        <v>L</v>
      </c>
      <c r="H42" s="63" t="str">
        <f aca="false">IF('Calibración de turnos'!$B$11="T1",MID("DDNNLL",MOD($A42-1+'Calibración de turnos'!$D$11,6)+1,1),IF('Calibración de turnos'!$B$11="T2",IF(MOD($A42-1,7)+1&lt;=5,IF(MOD(INT(($A42-1)/7)+'Calibración de turnos'!$D$11,2)=0,"M2","T2"),"L"),IF(MOD($A42-1,7)+1&lt;=5,IF('Calibración de turnos'!$E$11=13,"M3b","M3a"),"L")))</f>
        <v>L</v>
      </c>
      <c r="I42" s="63" t="str">
        <f aca="false">IF('Calibración de turnos'!$B$12="T1",MID("DDNNLL",MOD($A42-1+'Calibración de turnos'!$D$12,6)+1,1),IF('Calibración de turnos'!$B$12="T2",IF(MOD($A42-1,7)+1&lt;=5,IF(MOD(INT(($A42-1)/7)+'Calibración de turnos'!$D$12,2)=0,"M2","T2"),"L"),IF(MOD($A42-1,7)+1&lt;=5,IF('Calibración de turnos'!$E$12=13,"M3b","M3a"),"L")))</f>
        <v>T2</v>
      </c>
      <c r="J42" s="63" t="str">
        <f aca="false">IF('Calibración de turnos'!$B$13="T1",MID("DDNNLL",MOD($A42-1+'Calibración de turnos'!$D$13,6)+1,1),IF('Calibración de turnos'!$B$13="T2",IF(MOD($A42-1,7)+1&lt;=5,IF(MOD(INT(($A42-1)/7)+'Calibración de turnos'!$D$13,2)=0,"M2","T2"),"L"),IF(MOD($A42-1,7)+1&lt;=5,IF('Calibración de turnos'!$E$13=13,"M3b","M3a"),"L")))</f>
        <v>M2</v>
      </c>
      <c r="K42" s="63" t="str">
        <f aca="false">IF('Calibración de turnos'!$B$14="T1",MID("DDNNLL",MOD($A42-1+'Calibración de turnos'!$D$14,6)+1,1),IF('Calibración de turnos'!$B$14="T2",IF(MOD($A42-1,7)+1&lt;=5,IF(MOD(INT(($A42-1)/7)+'Calibración de turnos'!$D$14,2)=0,"M2","T2"),"L"),IF(MOD($A42-1,7)+1&lt;=5,IF('Calibración de turnos'!$E$14=13,"M3b","M3a"),"L")))</f>
        <v>T2</v>
      </c>
      <c r="L42" s="63" t="str">
        <f aca="false">IF('Calibración de turnos'!$B$15="T1",MID("DDNNLL",MOD($A42-1+'Calibración de turnos'!$D$15,6)+1,1),IF('Calibración de turnos'!$B$15="T2",IF(MOD($A42-1,7)+1&lt;=5,IF(MOD(INT(($A42-1)/7)+'Calibración de turnos'!$D$15,2)=0,"M2","T2"),"L"),IF(MOD($A42-1,7)+1&lt;=5,IF('Calibración de turnos'!$E$15=13,"M3b","M3a"),"L")))</f>
        <v>M2</v>
      </c>
      <c r="M42" s="63" t="str">
        <f aca="false">IF('Calibración de turnos'!$B$16="T1",MID("DDNNLL",MOD($A42-1+'Calibración de turnos'!$D$16,6)+1,1),IF('Calibración de turnos'!$B$16="T2",IF(MOD($A42-1,7)+1&lt;=5,IF(MOD(INT(($A42-1)/7)+'Calibración de turnos'!$D$16,2)=0,"M2","T2"),"L"),IF(MOD($A42-1,7)+1&lt;=5,IF('Calibración de turnos'!$E$16=13,"M3b","M3a"),"L")))</f>
        <v>M3a</v>
      </c>
      <c r="N42" s="63" t="str">
        <f aca="false">IF('Calibración de turnos'!$B$17="T1",MID("DDNNLL",MOD($A42-1+'Calibración de turnos'!$D$17,6)+1,1),IF('Calibración de turnos'!$B$17="T2",IF(MOD($A42-1,7)+1&lt;=5,IF(MOD(INT(($A42-1)/7)+'Calibración de turnos'!$D$17,2)=0,"M2","T2"),"L"),IF(MOD($A42-1,7)+1&lt;=5,IF('Calibración de turnos'!$E$17=13,"M3b","M3a"),"L")))</f>
        <v>M3a</v>
      </c>
      <c r="O42" s="63" t="str">
        <f aca="false">IF('Calibración de turnos'!$B$18="T1",MID("DDNNLL",MOD($A42-1+'Calibración de turnos'!$D$18,6)+1,1),IF('Calibración de turnos'!$B$18="T2",IF(MOD($A42-1,7)+1&lt;=5,IF(MOD(INT(($A42-1)/7)+'Calibración de turnos'!$D$18,2)=0,"M2","T2"),"L"),IF(MOD($A42-1,7)+1&lt;=5,IF('Calibración de turnos'!$E$18=13,"M3b","M3a"),"L")))</f>
        <v>M3b</v>
      </c>
      <c r="P42" s="63" t="str">
        <f aca="false">IF('Calibración de turnos'!$B$19="T1",MID("DDNNLL",MOD($A42-1+'Calibración de turnos'!$D$19,6)+1,1),IF('Calibración de turnos'!$B$19="T2",IF(MOD($A42-1,7)+1&lt;=5,IF(MOD(INT(($A42-1)/7)+'Calibración de turnos'!$D$19,2)=0,"M2","T2"),"L"),IF(MOD($A42-1,7)+1&lt;=5,IF('Calibración de turnos'!$E$19=13,"M3b","M3a"),"L")))</f>
        <v>M3a</v>
      </c>
      <c r="Q42" s="63" t="str">
        <f aca="false">IF('Calibración de turnos'!$B$20="T1",MID("DDNNLL",MOD($A42-1+'Calibración de turnos'!$D$20,6)+1,1),IF('Calibración de turnos'!$B$20="T2",IF(MOD($A42-1,7)+1&lt;=5,IF(MOD(INT(($A42-1)/7)+'Calibración de turnos'!$D$20,2)=0,"M2","T2"),"L"),IF(MOD($A42-1,7)+1&lt;=5,IF('Calibración de turnos'!$E$20=13,"M3b","M3a"),"L")))</f>
        <v>M3b</v>
      </c>
      <c r="R42" s="63" t="str">
        <f aca="false">IF('Calibración de turnos'!$B$21="T1",MID("DDNNLL",MOD($A42-1+'Calibración de turnos'!$D$21,6)+1,1),IF('Calibración de turnos'!$B$21="T2",IF(MOD($A42-1,7)+1&lt;=5,IF(MOD(INT(($A42-1)/7)+'Calibración de turnos'!$D$21,2)=0,"M2","T2"),"L"),IF(MOD($A42-1,7)+1&lt;=5,IF('Calibración de turnos'!$E$21=13,"M3b","M3a"),"L")))</f>
        <v>M3b</v>
      </c>
      <c r="S42" s="63" t="str">
        <f aca="false">IF('Calibración de turnos'!$B$22="T1",MID("DDNNLL",MOD($A42-1+'Calibración de turnos'!$D$22,6)+1,1),IF('Calibración de turnos'!$B$22="T2",IF(MOD($A42-1,7)+1&lt;=5,IF(MOD(INT(($A42-1)/7)+'Calibración de turnos'!$D$22,2)=0,"M2","T2"),"L"),IF(MOD($A42-1,7)+1&lt;=5,IF('Calibración de turnos'!$E$22=13,"M3b","M3a"),"L")))</f>
        <v>M3a</v>
      </c>
      <c r="T42" s="63" t="str">
        <f aca="false">IF('Calibración de turnos'!$B$23="T1",MID("DDNNLL",MOD($A42-1+'Calibración de turnos'!$D$23,6)+1,1),IF('Calibración de turnos'!$B$23="T2",IF(MOD($A42-1,7)+1&lt;=5,IF(MOD(INT(($A42-1)/7)+'Calibración de turnos'!$D$23,2)=0,"M2","T2"),"L"),IF(MOD($A42-1,7)+1&lt;=5,IF('Calibración de turnos'!$E$23=13,"M3b","M3a"),"L")))</f>
        <v>M3b</v>
      </c>
      <c r="U42" s="63" t="str">
        <f aca="false">IF('Calibración de turnos'!$B$24="T1",MID("DDNNLL",MOD($A42-1+'Calibración de turnos'!$D$24,6)+1,1),IF('Calibración de turnos'!$B$24="T2",IF(MOD($A42-1,7)+1&lt;=5,IF(MOD(INT(($A42-1)/7)+'Calibración de turnos'!$D$24,2)=0,"M2","T2"),"L"),IF(MOD($A42-1,7)+1&lt;=5,IF('Calibración de turnos'!$E$24=13,"M3b","M3a"),"L")))</f>
        <v>M3a</v>
      </c>
      <c r="V42" s="63" t="str">
        <f aca="false">IF('Calibración de turnos'!$B$25="T1",MID("DDNNLL",MOD($A42-1+'Calibración de turnos'!$D$25,6)+1,1),IF('Calibración de turnos'!$B$25="T2",IF(MOD($A42-1,7)+1&lt;=5,IF(MOD(INT(($A42-1)/7)+'Calibración de turnos'!$D$25,2)=0,"M2","T2"),"L"),IF(MOD($A42-1,7)+1&lt;=5,IF('Calibración de turnos'!$E$25=13,"M3b","M3a"),"L")))</f>
        <v>M3b</v>
      </c>
    </row>
    <row r="43" customFormat="false" ht="15" hidden="false" customHeight="false" outlineLevel="0" collapsed="false">
      <c r="A43" s="18" t="n">
        <v>39</v>
      </c>
      <c r="B43" s="18" t="str">
        <f aca="false">CHOOSE(MOD(A43-1,7)+1,"lunes","martes","miércoles","jueves","viernes","sábado","domingo")</f>
        <v>jueves</v>
      </c>
      <c r="C43" s="63" t="str">
        <f aca="false">IF('Calibración de turnos'!$B$6="T1",MID("DDNNLL",MOD($A43-1+'Calibración de turnos'!$D$6,6)+1,1),IF('Calibración de turnos'!$B$6="T2",IF(MOD($A43-1,7)+1&lt;=5,IF(MOD(INT(($A43-1)/7)+'Calibración de turnos'!$D$6,2)=0,"M2","T2"),"L"),IF(MOD($A43-1,7)+1&lt;=5,IF('Calibración de turnos'!$E$6=13,"M3b","M3a"),"L")))</f>
        <v>N</v>
      </c>
      <c r="D43" s="63" t="str">
        <f aca="false">IF('Calibración de turnos'!$B$7="T1",MID("DDNNLL",MOD($A43-1+'Calibración de turnos'!$D$7,6)+1,1),IF('Calibración de turnos'!$B$7="T2",IF(MOD($A43-1,7)+1&lt;=5,IF(MOD(INT(($A43-1)/7)+'Calibración de turnos'!$D$7,2)=0,"M2","T2"),"L"),IF(MOD($A43-1,7)+1&lt;=5,IF('Calibración de turnos'!$E$7=13,"M3b","M3a"),"L")))</f>
        <v>L</v>
      </c>
      <c r="E43" s="63" t="str">
        <f aca="false">IF('Calibración de turnos'!$B$8="T1",MID("DDNNLL",MOD($A43-1+'Calibración de turnos'!$D$8,6)+1,1),IF('Calibración de turnos'!$B$8="T2",IF(MOD($A43-1,7)+1&lt;=5,IF(MOD(INT(($A43-1)/7)+'Calibración de turnos'!$D$8,2)=0,"M2","T2"),"L"),IF(MOD($A43-1,7)+1&lt;=5,IF('Calibración de turnos'!$E$8=13,"M3b","M3a"),"L")))</f>
        <v>N</v>
      </c>
      <c r="F43" s="63" t="str">
        <f aca="false">IF('Calibración de turnos'!$B$9="T1",MID("DDNNLL",MOD($A43-1+'Calibración de turnos'!$D$9,6)+1,1),IF('Calibración de turnos'!$B$9="T2",IF(MOD($A43-1,7)+1&lt;=5,IF(MOD(INT(($A43-1)/7)+'Calibración de turnos'!$D$9,2)=0,"M2","T2"),"L"),IF(MOD($A43-1,7)+1&lt;=5,IF('Calibración de turnos'!$E$9=13,"M3b","M3a"),"L")))</f>
        <v>L</v>
      </c>
      <c r="G43" s="63" t="str">
        <f aca="false">IF('Calibración de turnos'!$B$10="T1",MID("DDNNLL",MOD($A43-1+'Calibración de turnos'!$D$10,6)+1,1),IF('Calibración de turnos'!$B$10="T2",IF(MOD($A43-1,7)+1&lt;=5,IF(MOD(INT(($A43-1)/7)+'Calibración de turnos'!$D$10,2)=0,"M2","T2"),"L"),IF(MOD($A43-1,7)+1&lt;=5,IF('Calibración de turnos'!$E$10=13,"M3b","M3a"),"L")))</f>
        <v>D</v>
      </c>
      <c r="H43" s="63" t="str">
        <f aca="false">IF('Calibración de turnos'!$B$11="T1",MID("DDNNLL",MOD($A43-1+'Calibración de turnos'!$D$11,6)+1,1),IF('Calibración de turnos'!$B$11="T2",IF(MOD($A43-1,7)+1&lt;=5,IF(MOD(INT(($A43-1)/7)+'Calibración de turnos'!$D$11,2)=0,"M2","T2"),"L"),IF(MOD($A43-1,7)+1&lt;=5,IF('Calibración de turnos'!$E$11=13,"M3b","M3a"),"L")))</f>
        <v>D</v>
      </c>
      <c r="I43" s="63" t="str">
        <f aca="false">IF('Calibración de turnos'!$B$12="T1",MID("DDNNLL",MOD($A43-1+'Calibración de turnos'!$D$12,6)+1,1),IF('Calibración de turnos'!$B$12="T2",IF(MOD($A43-1,7)+1&lt;=5,IF(MOD(INT(($A43-1)/7)+'Calibración de turnos'!$D$12,2)=0,"M2","T2"),"L"),IF(MOD($A43-1,7)+1&lt;=5,IF('Calibración de turnos'!$E$12=13,"M3b","M3a"),"L")))</f>
        <v>T2</v>
      </c>
      <c r="J43" s="63" t="str">
        <f aca="false">IF('Calibración de turnos'!$B$13="T1",MID("DDNNLL",MOD($A43-1+'Calibración de turnos'!$D$13,6)+1,1),IF('Calibración de turnos'!$B$13="T2",IF(MOD($A43-1,7)+1&lt;=5,IF(MOD(INT(($A43-1)/7)+'Calibración de turnos'!$D$13,2)=0,"M2","T2"),"L"),IF(MOD($A43-1,7)+1&lt;=5,IF('Calibración de turnos'!$E$13=13,"M3b","M3a"),"L")))</f>
        <v>M2</v>
      </c>
      <c r="K43" s="63" t="str">
        <f aca="false">IF('Calibración de turnos'!$B$14="T1",MID("DDNNLL",MOD($A43-1+'Calibración de turnos'!$D$14,6)+1,1),IF('Calibración de turnos'!$B$14="T2",IF(MOD($A43-1,7)+1&lt;=5,IF(MOD(INT(($A43-1)/7)+'Calibración de turnos'!$D$14,2)=0,"M2","T2"),"L"),IF(MOD($A43-1,7)+1&lt;=5,IF('Calibración de turnos'!$E$14=13,"M3b","M3a"),"L")))</f>
        <v>T2</v>
      </c>
      <c r="L43" s="63" t="str">
        <f aca="false">IF('Calibración de turnos'!$B$15="T1",MID("DDNNLL",MOD($A43-1+'Calibración de turnos'!$D$15,6)+1,1),IF('Calibración de turnos'!$B$15="T2",IF(MOD($A43-1,7)+1&lt;=5,IF(MOD(INT(($A43-1)/7)+'Calibración de turnos'!$D$15,2)=0,"M2","T2"),"L"),IF(MOD($A43-1,7)+1&lt;=5,IF('Calibración de turnos'!$E$15=13,"M3b","M3a"),"L")))</f>
        <v>M2</v>
      </c>
      <c r="M43" s="63" t="str">
        <f aca="false">IF('Calibración de turnos'!$B$16="T1",MID("DDNNLL",MOD($A43-1+'Calibración de turnos'!$D$16,6)+1,1),IF('Calibración de turnos'!$B$16="T2",IF(MOD($A43-1,7)+1&lt;=5,IF(MOD(INT(($A43-1)/7)+'Calibración de turnos'!$D$16,2)=0,"M2","T2"),"L"),IF(MOD($A43-1,7)+1&lt;=5,IF('Calibración de turnos'!$E$16=13,"M3b","M3a"),"L")))</f>
        <v>M3a</v>
      </c>
      <c r="N43" s="63" t="str">
        <f aca="false">IF('Calibración de turnos'!$B$17="T1",MID("DDNNLL",MOD($A43-1+'Calibración de turnos'!$D$17,6)+1,1),IF('Calibración de turnos'!$B$17="T2",IF(MOD($A43-1,7)+1&lt;=5,IF(MOD(INT(($A43-1)/7)+'Calibración de turnos'!$D$17,2)=0,"M2","T2"),"L"),IF(MOD($A43-1,7)+1&lt;=5,IF('Calibración de turnos'!$E$17=13,"M3b","M3a"),"L")))</f>
        <v>M3a</v>
      </c>
      <c r="O43" s="63" t="str">
        <f aca="false">IF('Calibración de turnos'!$B$18="T1",MID("DDNNLL",MOD($A43-1+'Calibración de turnos'!$D$18,6)+1,1),IF('Calibración de turnos'!$B$18="T2",IF(MOD($A43-1,7)+1&lt;=5,IF(MOD(INT(($A43-1)/7)+'Calibración de turnos'!$D$18,2)=0,"M2","T2"),"L"),IF(MOD($A43-1,7)+1&lt;=5,IF('Calibración de turnos'!$E$18=13,"M3b","M3a"),"L")))</f>
        <v>M3b</v>
      </c>
      <c r="P43" s="63" t="str">
        <f aca="false">IF('Calibración de turnos'!$B$19="T1",MID("DDNNLL",MOD($A43-1+'Calibración de turnos'!$D$19,6)+1,1),IF('Calibración de turnos'!$B$19="T2",IF(MOD($A43-1,7)+1&lt;=5,IF(MOD(INT(($A43-1)/7)+'Calibración de turnos'!$D$19,2)=0,"M2","T2"),"L"),IF(MOD($A43-1,7)+1&lt;=5,IF('Calibración de turnos'!$E$19=13,"M3b","M3a"),"L")))</f>
        <v>M3a</v>
      </c>
      <c r="Q43" s="63" t="str">
        <f aca="false">IF('Calibración de turnos'!$B$20="T1",MID("DDNNLL",MOD($A43-1+'Calibración de turnos'!$D$20,6)+1,1),IF('Calibración de turnos'!$B$20="T2",IF(MOD($A43-1,7)+1&lt;=5,IF(MOD(INT(($A43-1)/7)+'Calibración de turnos'!$D$20,2)=0,"M2","T2"),"L"),IF(MOD($A43-1,7)+1&lt;=5,IF('Calibración de turnos'!$E$20=13,"M3b","M3a"),"L")))</f>
        <v>M3b</v>
      </c>
      <c r="R43" s="63" t="str">
        <f aca="false">IF('Calibración de turnos'!$B$21="T1",MID("DDNNLL",MOD($A43-1+'Calibración de turnos'!$D$21,6)+1,1),IF('Calibración de turnos'!$B$21="T2",IF(MOD($A43-1,7)+1&lt;=5,IF(MOD(INT(($A43-1)/7)+'Calibración de turnos'!$D$21,2)=0,"M2","T2"),"L"),IF(MOD($A43-1,7)+1&lt;=5,IF('Calibración de turnos'!$E$21=13,"M3b","M3a"),"L")))</f>
        <v>M3b</v>
      </c>
      <c r="S43" s="63" t="str">
        <f aca="false">IF('Calibración de turnos'!$B$22="T1",MID("DDNNLL",MOD($A43-1+'Calibración de turnos'!$D$22,6)+1,1),IF('Calibración de turnos'!$B$22="T2",IF(MOD($A43-1,7)+1&lt;=5,IF(MOD(INT(($A43-1)/7)+'Calibración de turnos'!$D$22,2)=0,"M2","T2"),"L"),IF(MOD($A43-1,7)+1&lt;=5,IF('Calibración de turnos'!$E$22=13,"M3b","M3a"),"L")))</f>
        <v>M3a</v>
      </c>
      <c r="T43" s="63" t="str">
        <f aca="false">IF('Calibración de turnos'!$B$23="T1",MID("DDNNLL",MOD($A43-1+'Calibración de turnos'!$D$23,6)+1,1),IF('Calibración de turnos'!$B$23="T2",IF(MOD($A43-1,7)+1&lt;=5,IF(MOD(INT(($A43-1)/7)+'Calibración de turnos'!$D$23,2)=0,"M2","T2"),"L"),IF(MOD($A43-1,7)+1&lt;=5,IF('Calibración de turnos'!$E$23=13,"M3b","M3a"),"L")))</f>
        <v>M3b</v>
      </c>
      <c r="U43" s="63" t="str">
        <f aca="false">IF('Calibración de turnos'!$B$24="T1",MID("DDNNLL",MOD($A43-1+'Calibración de turnos'!$D$24,6)+1,1),IF('Calibración de turnos'!$B$24="T2",IF(MOD($A43-1,7)+1&lt;=5,IF(MOD(INT(($A43-1)/7)+'Calibración de turnos'!$D$24,2)=0,"M2","T2"),"L"),IF(MOD($A43-1,7)+1&lt;=5,IF('Calibración de turnos'!$E$24=13,"M3b","M3a"),"L")))</f>
        <v>M3a</v>
      </c>
      <c r="V43" s="63" t="str">
        <f aca="false">IF('Calibración de turnos'!$B$25="T1",MID("DDNNLL",MOD($A43-1+'Calibración de turnos'!$D$25,6)+1,1),IF('Calibración de turnos'!$B$25="T2",IF(MOD($A43-1,7)+1&lt;=5,IF(MOD(INT(($A43-1)/7)+'Calibración de turnos'!$D$25,2)=0,"M2","T2"),"L"),IF(MOD($A43-1,7)+1&lt;=5,IF('Calibración de turnos'!$E$25=13,"M3b","M3a"),"L")))</f>
        <v>M3b</v>
      </c>
    </row>
    <row r="44" customFormat="false" ht="15" hidden="false" customHeight="false" outlineLevel="0" collapsed="false">
      <c r="A44" s="18" t="n">
        <v>40</v>
      </c>
      <c r="B44" s="18" t="str">
        <f aca="false">CHOOSE(MOD(A44-1,7)+1,"lunes","martes","miércoles","jueves","viernes","sábado","domingo")</f>
        <v>viernes</v>
      </c>
      <c r="C44" s="63" t="str">
        <f aca="false">IF('Calibración de turnos'!$B$6="T1",MID("DDNNLL",MOD($A44-1+'Calibración de turnos'!$D$6,6)+1,1),IF('Calibración de turnos'!$B$6="T2",IF(MOD($A44-1,7)+1&lt;=5,IF(MOD(INT(($A44-1)/7)+'Calibración de turnos'!$D$6,2)=0,"M2","T2"),"L"),IF(MOD($A44-1,7)+1&lt;=5,IF('Calibración de turnos'!$E$6=13,"M3b","M3a"),"L")))</f>
        <v>N</v>
      </c>
      <c r="D44" s="63" t="str">
        <f aca="false">IF('Calibración de turnos'!$B$7="T1",MID("DDNNLL",MOD($A44-1+'Calibración de turnos'!$D$7,6)+1,1),IF('Calibración de turnos'!$B$7="T2",IF(MOD($A44-1,7)+1&lt;=5,IF(MOD(INT(($A44-1)/7)+'Calibración de turnos'!$D$7,2)=0,"M2","T2"),"L"),IF(MOD($A44-1,7)+1&lt;=5,IF('Calibración de turnos'!$E$7=13,"M3b","M3a"),"L")))</f>
        <v>L</v>
      </c>
      <c r="E44" s="63" t="str">
        <f aca="false">IF('Calibración de turnos'!$B$8="T1",MID("DDNNLL",MOD($A44-1+'Calibración de turnos'!$D$8,6)+1,1),IF('Calibración de turnos'!$B$8="T2",IF(MOD($A44-1,7)+1&lt;=5,IF(MOD(INT(($A44-1)/7)+'Calibración de turnos'!$D$8,2)=0,"M2","T2"),"L"),IF(MOD($A44-1,7)+1&lt;=5,IF('Calibración de turnos'!$E$8=13,"M3b","M3a"),"L")))</f>
        <v>N</v>
      </c>
      <c r="F44" s="63" t="str">
        <f aca="false">IF('Calibración de turnos'!$B$9="T1",MID("DDNNLL",MOD($A44-1+'Calibración de turnos'!$D$9,6)+1,1),IF('Calibración de turnos'!$B$9="T2",IF(MOD($A44-1,7)+1&lt;=5,IF(MOD(INT(($A44-1)/7)+'Calibración de turnos'!$D$9,2)=0,"M2","T2"),"L"),IF(MOD($A44-1,7)+1&lt;=5,IF('Calibración de turnos'!$E$9=13,"M3b","M3a"),"L")))</f>
        <v>L</v>
      </c>
      <c r="G44" s="63" t="str">
        <f aca="false">IF('Calibración de turnos'!$B$10="T1",MID("DDNNLL",MOD($A44-1+'Calibración de turnos'!$D$10,6)+1,1),IF('Calibración de turnos'!$B$10="T2",IF(MOD($A44-1,7)+1&lt;=5,IF(MOD(INT(($A44-1)/7)+'Calibración de turnos'!$D$10,2)=0,"M2","T2"),"L"),IF(MOD($A44-1,7)+1&lt;=5,IF('Calibración de turnos'!$E$10=13,"M3b","M3a"),"L")))</f>
        <v>D</v>
      </c>
      <c r="H44" s="63" t="str">
        <f aca="false">IF('Calibración de turnos'!$B$11="T1",MID("DDNNLL",MOD($A44-1+'Calibración de turnos'!$D$11,6)+1,1),IF('Calibración de turnos'!$B$11="T2",IF(MOD($A44-1,7)+1&lt;=5,IF(MOD(INT(($A44-1)/7)+'Calibración de turnos'!$D$11,2)=0,"M2","T2"),"L"),IF(MOD($A44-1,7)+1&lt;=5,IF('Calibración de turnos'!$E$11=13,"M3b","M3a"),"L")))</f>
        <v>D</v>
      </c>
      <c r="I44" s="63" t="str">
        <f aca="false">IF('Calibración de turnos'!$B$12="T1",MID("DDNNLL",MOD($A44-1+'Calibración de turnos'!$D$12,6)+1,1),IF('Calibración de turnos'!$B$12="T2",IF(MOD($A44-1,7)+1&lt;=5,IF(MOD(INT(($A44-1)/7)+'Calibración de turnos'!$D$12,2)=0,"M2","T2"),"L"),IF(MOD($A44-1,7)+1&lt;=5,IF('Calibración de turnos'!$E$12=13,"M3b","M3a"),"L")))</f>
        <v>T2</v>
      </c>
      <c r="J44" s="63" t="str">
        <f aca="false">IF('Calibración de turnos'!$B$13="T1",MID("DDNNLL",MOD($A44-1+'Calibración de turnos'!$D$13,6)+1,1),IF('Calibración de turnos'!$B$13="T2",IF(MOD($A44-1,7)+1&lt;=5,IF(MOD(INT(($A44-1)/7)+'Calibración de turnos'!$D$13,2)=0,"M2","T2"),"L"),IF(MOD($A44-1,7)+1&lt;=5,IF('Calibración de turnos'!$E$13=13,"M3b","M3a"),"L")))</f>
        <v>M2</v>
      </c>
      <c r="K44" s="63" t="str">
        <f aca="false">IF('Calibración de turnos'!$B$14="T1",MID("DDNNLL",MOD($A44-1+'Calibración de turnos'!$D$14,6)+1,1),IF('Calibración de turnos'!$B$14="T2",IF(MOD($A44-1,7)+1&lt;=5,IF(MOD(INT(($A44-1)/7)+'Calibración de turnos'!$D$14,2)=0,"M2","T2"),"L"),IF(MOD($A44-1,7)+1&lt;=5,IF('Calibración de turnos'!$E$14=13,"M3b","M3a"),"L")))</f>
        <v>T2</v>
      </c>
      <c r="L44" s="63" t="str">
        <f aca="false">IF('Calibración de turnos'!$B$15="T1",MID("DDNNLL",MOD($A44-1+'Calibración de turnos'!$D$15,6)+1,1),IF('Calibración de turnos'!$B$15="T2",IF(MOD($A44-1,7)+1&lt;=5,IF(MOD(INT(($A44-1)/7)+'Calibración de turnos'!$D$15,2)=0,"M2","T2"),"L"),IF(MOD($A44-1,7)+1&lt;=5,IF('Calibración de turnos'!$E$15=13,"M3b","M3a"),"L")))</f>
        <v>M2</v>
      </c>
      <c r="M44" s="63" t="str">
        <f aca="false">IF('Calibración de turnos'!$B$16="T1",MID("DDNNLL",MOD($A44-1+'Calibración de turnos'!$D$16,6)+1,1),IF('Calibración de turnos'!$B$16="T2",IF(MOD($A44-1,7)+1&lt;=5,IF(MOD(INT(($A44-1)/7)+'Calibración de turnos'!$D$16,2)=0,"M2","T2"),"L"),IF(MOD($A44-1,7)+1&lt;=5,IF('Calibración de turnos'!$E$16=13,"M3b","M3a"),"L")))</f>
        <v>M3a</v>
      </c>
      <c r="N44" s="63" t="str">
        <f aca="false">IF('Calibración de turnos'!$B$17="T1",MID("DDNNLL",MOD($A44-1+'Calibración de turnos'!$D$17,6)+1,1),IF('Calibración de turnos'!$B$17="T2",IF(MOD($A44-1,7)+1&lt;=5,IF(MOD(INT(($A44-1)/7)+'Calibración de turnos'!$D$17,2)=0,"M2","T2"),"L"),IF(MOD($A44-1,7)+1&lt;=5,IF('Calibración de turnos'!$E$17=13,"M3b","M3a"),"L")))</f>
        <v>M3a</v>
      </c>
      <c r="O44" s="63" t="str">
        <f aca="false">IF('Calibración de turnos'!$B$18="T1",MID("DDNNLL",MOD($A44-1+'Calibración de turnos'!$D$18,6)+1,1),IF('Calibración de turnos'!$B$18="T2",IF(MOD($A44-1,7)+1&lt;=5,IF(MOD(INT(($A44-1)/7)+'Calibración de turnos'!$D$18,2)=0,"M2","T2"),"L"),IF(MOD($A44-1,7)+1&lt;=5,IF('Calibración de turnos'!$E$18=13,"M3b","M3a"),"L")))</f>
        <v>M3b</v>
      </c>
      <c r="P44" s="63" t="str">
        <f aca="false">IF('Calibración de turnos'!$B$19="T1",MID("DDNNLL",MOD($A44-1+'Calibración de turnos'!$D$19,6)+1,1),IF('Calibración de turnos'!$B$19="T2",IF(MOD($A44-1,7)+1&lt;=5,IF(MOD(INT(($A44-1)/7)+'Calibración de turnos'!$D$19,2)=0,"M2","T2"),"L"),IF(MOD($A44-1,7)+1&lt;=5,IF('Calibración de turnos'!$E$19=13,"M3b","M3a"),"L")))</f>
        <v>M3a</v>
      </c>
      <c r="Q44" s="63" t="str">
        <f aca="false">IF('Calibración de turnos'!$B$20="T1",MID("DDNNLL",MOD($A44-1+'Calibración de turnos'!$D$20,6)+1,1),IF('Calibración de turnos'!$B$20="T2",IF(MOD($A44-1,7)+1&lt;=5,IF(MOD(INT(($A44-1)/7)+'Calibración de turnos'!$D$20,2)=0,"M2","T2"),"L"),IF(MOD($A44-1,7)+1&lt;=5,IF('Calibración de turnos'!$E$20=13,"M3b","M3a"),"L")))</f>
        <v>M3b</v>
      </c>
      <c r="R44" s="63" t="str">
        <f aca="false">IF('Calibración de turnos'!$B$21="T1",MID("DDNNLL",MOD($A44-1+'Calibración de turnos'!$D$21,6)+1,1),IF('Calibración de turnos'!$B$21="T2",IF(MOD($A44-1,7)+1&lt;=5,IF(MOD(INT(($A44-1)/7)+'Calibración de turnos'!$D$21,2)=0,"M2","T2"),"L"),IF(MOD($A44-1,7)+1&lt;=5,IF('Calibración de turnos'!$E$21=13,"M3b","M3a"),"L")))</f>
        <v>M3b</v>
      </c>
      <c r="S44" s="63" t="str">
        <f aca="false">IF('Calibración de turnos'!$B$22="T1",MID("DDNNLL",MOD($A44-1+'Calibración de turnos'!$D$22,6)+1,1),IF('Calibración de turnos'!$B$22="T2",IF(MOD($A44-1,7)+1&lt;=5,IF(MOD(INT(($A44-1)/7)+'Calibración de turnos'!$D$22,2)=0,"M2","T2"),"L"),IF(MOD($A44-1,7)+1&lt;=5,IF('Calibración de turnos'!$E$22=13,"M3b","M3a"),"L")))</f>
        <v>M3a</v>
      </c>
      <c r="T44" s="63" t="str">
        <f aca="false">IF('Calibración de turnos'!$B$23="T1",MID("DDNNLL",MOD($A44-1+'Calibración de turnos'!$D$23,6)+1,1),IF('Calibración de turnos'!$B$23="T2",IF(MOD($A44-1,7)+1&lt;=5,IF(MOD(INT(($A44-1)/7)+'Calibración de turnos'!$D$23,2)=0,"M2","T2"),"L"),IF(MOD($A44-1,7)+1&lt;=5,IF('Calibración de turnos'!$E$23=13,"M3b","M3a"),"L")))</f>
        <v>M3b</v>
      </c>
      <c r="U44" s="63" t="str">
        <f aca="false">IF('Calibración de turnos'!$B$24="T1",MID("DDNNLL",MOD($A44-1+'Calibración de turnos'!$D$24,6)+1,1),IF('Calibración de turnos'!$B$24="T2",IF(MOD($A44-1,7)+1&lt;=5,IF(MOD(INT(($A44-1)/7)+'Calibración de turnos'!$D$24,2)=0,"M2","T2"),"L"),IF(MOD($A44-1,7)+1&lt;=5,IF('Calibración de turnos'!$E$24=13,"M3b","M3a"),"L")))</f>
        <v>M3a</v>
      </c>
      <c r="V44" s="63" t="str">
        <f aca="false">IF('Calibración de turnos'!$B$25="T1",MID("DDNNLL",MOD($A44-1+'Calibración de turnos'!$D$25,6)+1,1),IF('Calibración de turnos'!$B$25="T2",IF(MOD($A44-1,7)+1&lt;=5,IF(MOD(INT(($A44-1)/7)+'Calibración de turnos'!$D$25,2)=0,"M2","T2"),"L"),IF(MOD($A44-1,7)+1&lt;=5,IF('Calibración de turnos'!$E$25=13,"M3b","M3a"),"L")))</f>
        <v>M3b</v>
      </c>
    </row>
    <row r="45" customFormat="false" ht="15" hidden="false" customHeight="false" outlineLevel="0" collapsed="false">
      <c r="A45" s="18" t="n">
        <v>41</v>
      </c>
      <c r="B45" s="18" t="str">
        <f aca="false">CHOOSE(MOD(A45-1,7)+1,"lunes","martes","miércoles","jueves","viernes","sábado","domingo")</f>
        <v>sábado</v>
      </c>
      <c r="C45" s="63" t="str">
        <f aca="false">IF('Calibración de turnos'!$B$6="T1",MID("DDNNLL",MOD($A45-1+'Calibración de turnos'!$D$6,6)+1,1),IF('Calibración de turnos'!$B$6="T2",IF(MOD($A45-1,7)+1&lt;=5,IF(MOD(INT(($A45-1)/7)+'Calibración de turnos'!$D$6,2)=0,"M2","T2"),"L"),IF(MOD($A45-1,7)+1&lt;=5,IF('Calibración de turnos'!$E$6=13,"M3b","M3a"),"L")))</f>
        <v>L</v>
      </c>
      <c r="D45" s="63" t="str">
        <f aca="false">IF('Calibración de turnos'!$B$7="T1",MID("DDNNLL",MOD($A45-1+'Calibración de turnos'!$D$7,6)+1,1),IF('Calibración de turnos'!$B$7="T2",IF(MOD($A45-1,7)+1&lt;=5,IF(MOD(INT(($A45-1)/7)+'Calibración de turnos'!$D$7,2)=0,"M2","T2"),"L"),IF(MOD($A45-1,7)+1&lt;=5,IF('Calibración de turnos'!$E$7=13,"M3b","M3a"),"L")))</f>
        <v>D</v>
      </c>
      <c r="E45" s="63" t="str">
        <f aca="false">IF('Calibración de turnos'!$B$8="T1",MID("DDNNLL",MOD($A45-1+'Calibración de turnos'!$D$8,6)+1,1),IF('Calibración de turnos'!$B$8="T2",IF(MOD($A45-1,7)+1&lt;=5,IF(MOD(INT(($A45-1)/7)+'Calibración de turnos'!$D$8,2)=0,"M2","T2"),"L"),IF(MOD($A45-1,7)+1&lt;=5,IF('Calibración de turnos'!$E$8=13,"M3b","M3a"),"L")))</f>
        <v>L</v>
      </c>
      <c r="F45" s="63" t="str">
        <f aca="false">IF('Calibración de turnos'!$B$9="T1",MID("DDNNLL",MOD($A45-1+'Calibración de turnos'!$D$9,6)+1,1),IF('Calibración de turnos'!$B$9="T2",IF(MOD($A45-1,7)+1&lt;=5,IF(MOD(INT(($A45-1)/7)+'Calibración de turnos'!$D$9,2)=0,"M2","T2"),"L"),IF(MOD($A45-1,7)+1&lt;=5,IF('Calibración de turnos'!$E$9=13,"M3b","M3a"),"L")))</f>
        <v>D</v>
      </c>
      <c r="G45" s="63" t="str">
        <f aca="false">IF('Calibración de turnos'!$B$10="T1",MID("DDNNLL",MOD($A45-1+'Calibración de turnos'!$D$10,6)+1,1),IF('Calibración de turnos'!$B$10="T2",IF(MOD($A45-1,7)+1&lt;=5,IF(MOD(INT(($A45-1)/7)+'Calibración de turnos'!$D$10,2)=0,"M2","T2"),"L"),IF(MOD($A45-1,7)+1&lt;=5,IF('Calibración de turnos'!$E$10=13,"M3b","M3a"),"L")))</f>
        <v>N</v>
      </c>
      <c r="H45" s="63" t="str">
        <f aca="false">IF('Calibración de turnos'!$B$11="T1",MID("DDNNLL",MOD($A45-1+'Calibración de turnos'!$D$11,6)+1,1),IF('Calibración de turnos'!$B$11="T2",IF(MOD($A45-1,7)+1&lt;=5,IF(MOD(INT(($A45-1)/7)+'Calibración de turnos'!$D$11,2)=0,"M2","T2"),"L"),IF(MOD($A45-1,7)+1&lt;=5,IF('Calibración de turnos'!$E$11=13,"M3b","M3a"),"L")))</f>
        <v>N</v>
      </c>
      <c r="I45" s="63" t="str">
        <f aca="false">IF('Calibración de turnos'!$B$12="T1",MID("DDNNLL",MOD($A45-1+'Calibración de turnos'!$D$12,6)+1,1),IF('Calibración de turnos'!$B$12="T2",IF(MOD($A45-1,7)+1&lt;=5,IF(MOD(INT(($A45-1)/7)+'Calibración de turnos'!$D$12,2)=0,"M2","T2"),"L"),IF(MOD($A45-1,7)+1&lt;=5,IF('Calibración de turnos'!$E$12=13,"M3b","M3a"),"L")))</f>
        <v>L</v>
      </c>
      <c r="J45" s="63" t="str">
        <f aca="false">IF('Calibración de turnos'!$B$13="T1",MID("DDNNLL",MOD($A45-1+'Calibración de turnos'!$D$13,6)+1,1),IF('Calibración de turnos'!$B$13="T2",IF(MOD($A45-1,7)+1&lt;=5,IF(MOD(INT(($A45-1)/7)+'Calibración de turnos'!$D$13,2)=0,"M2","T2"),"L"),IF(MOD($A45-1,7)+1&lt;=5,IF('Calibración de turnos'!$E$13=13,"M3b","M3a"),"L")))</f>
        <v>L</v>
      </c>
      <c r="K45" s="63" t="str">
        <f aca="false">IF('Calibración de turnos'!$B$14="T1",MID("DDNNLL",MOD($A45-1+'Calibración de turnos'!$D$14,6)+1,1),IF('Calibración de turnos'!$B$14="T2",IF(MOD($A45-1,7)+1&lt;=5,IF(MOD(INT(($A45-1)/7)+'Calibración de turnos'!$D$14,2)=0,"M2","T2"),"L"),IF(MOD($A45-1,7)+1&lt;=5,IF('Calibración de turnos'!$E$14=13,"M3b","M3a"),"L")))</f>
        <v>L</v>
      </c>
      <c r="L45" s="63" t="str">
        <f aca="false">IF('Calibración de turnos'!$B$15="T1",MID("DDNNLL",MOD($A45-1+'Calibración de turnos'!$D$15,6)+1,1),IF('Calibración de turnos'!$B$15="T2",IF(MOD($A45-1,7)+1&lt;=5,IF(MOD(INT(($A45-1)/7)+'Calibración de turnos'!$D$15,2)=0,"M2","T2"),"L"),IF(MOD($A45-1,7)+1&lt;=5,IF('Calibración de turnos'!$E$15=13,"M3b","M3a"),"L")))</f>
        <v>L</v>
      </c>
      <c r="M45" s="63" t="str">
        <f aca="false">IF('Calibración de turnos'!$B$16="T1",MID("DDNNLL",MOD($A45-1+'Calibración de turnos'!$D$16,6)+1,1),IF('Calibración de turnos'!$B$16="T2",IF(MOD($A45-1,7)+1&lt;=5,IF(MOD(INT(($A45-1)/7)+'Calibración de turnos'!$D$16,2)=0,"M2","T2"),"L"),IF(MOD($A45-1,7)+1&lt;=5,IF('Calibración de turnos'!$E$16=13,"M3b","M3a"),"L")))</f>
        <v>L</v>
      </c>
      <c r="N45" s="63" t="str">
        <f aca="false">IF('Calibración de turnos'!$B$17="T1",MID("DDNNLL",MOD($A45-1+'Calibración de turnos'!$D$17,6)+1,1),IF('Calibración de turnos'!$B$17="T2",IF(MOD($A45-1,7)+1&lt;=5,IF(MOD(INT(($A45-1)/7)+'Calibración de turnos'!$D$17,2)=0,"M2","T2"),"L"),IF(MOD($A45-1,7)+1&lt;=5,IF('Calibración de turnos'!$E$17=13,"M3b","M3a"),"L")))</f>
        <v>L</v>
      </c>
      <c r="O45" s="63" t="str">
        <f aca="false">IF('Calibración de turnos'!$B$18="T1",MID("DDNNLL",MOD($A45-1+'Calibración de turnos'!$D$18,6)+1,1),IF('Calibración de turnos'!$B$18="T2",IF(MOD($A45-1,7)+1&lt;=5,IF(MOD(INT(($A45-1)/7)+'Calibración de turnos'!$D$18,2)=0,"M2","T2"),"L"),IF(MOD($A45-1,7)+1&lt;=5,IF('Calibración de turnos'!$E$18=13,"M3b","M3a"),"L")))</f>
        <v>L</v>
      </c>
      <c r="P45" s="63" t="str">
        <f aca="false">IF('Calibración de turnos'!$B$19="T1",MID("DDNNLL",MOD($A45-1+'Calibración de turnos'!$D$19,6)+1,1),IF('Calibración de turnos'!$B$19="T2",IF(MOD($A45-1,7)+1&lt;=5,IF(MOD(INT(($A45-1)/7)+'Calibración de turnos'!$D$19,2)=0,"M2","T2"),"L"),IF(MOD($A45-1,7)+1&lt;=5,IF('Calibración de turnos'!$E$19=13,"M3b","M3a"),"L")))</f>
        <v>L</v>
      </c>
      <c r="Q45" s="63" t="str">
        <f aca="false">IF('Calibración de turnos'!$B$20="T1",MID("DDNNLL",MOD($A45-1+'Calibración de turnos'!$D$20,6)+1,1),IF('Calibración de turnos'!$B$20="T2",IF(MOD($A45-1,7)+1&lt;=5,IF(MOD(INT(($A45-1)/7)+'Calibración de turnos'!$D$20,2)=0,"M2","T2"),"L"),IF(MOD($A45-1,7)+1&lt;=5,IF('Calibración de turnos'!$E$20=13,"M3b","M3a"),"L")))</f>
        <v>L</v>
      </c>
      <c r="R45" s="63" t="str">
        <f aca="false">IF('Calibración de turnos'!$B$21="T1",MID("DDNNLL",MOD($A45-1+'Calibración de turnos'!$D$21,6)+1,1),IF('Calibración de turnos'!$B$21="T2",IF(MOD($A45-1,7)+1&lt;=5,IF(MOD(INT(($A45-1)/7)+'Calibración de turnos'!$D$21,2)=0,"M2","T2"),"L"),IF(MOD($A45-1,7)+1&lt;=5,IF('Calibración de turnos'!$E$21=13,"M3b","M3a"),"L")))</f>
        <v>L</v>
      </c>
      <c r="S45" s="63" t="str">
        <f aca="false">IF('Calibración de turnos'!$B$22="T1",MID("DDNNLL",MOD($A45-1+'Calibración de turnos'!$D$22,6)+1,1),IF('Calibración de turnos'!$B$22="T2",IF(MOD($A45-1,7)+1&lt;=5,IF(MOD(INT(($A45-1)/7)+'Calibración de turnos'!$D$22,2)=0,"M2","T2"),"L"),IF(MOD($A45-1,7)+1&lt;=5,IF('Calibración de turnos'!$E$22=13,"M3b","M3a"),"L")))</f>
        <v>L</v>
      </c>
      <c r="T45" s="63" t="str">
        <f aca="false">IF('Calibración de turnos'!$B$23="T1",MID("DDNNLL",MOD($A45-1+'Calibración de turnos'!$D$23,6)+1,1),IF('Calibración de turnos'!$B$23="T2",IF(MOD($A45-1,7)+1&lt;=5,IF(MOD(INT(($A45-1)/7)+'Calibración de turnos'!$D$23,2)=0,"M2","T2"),"L"),IF(MOD($A45-1,7)+1&lt;=5,IF('Calibración de turnos'!$E$23=13,"M3b","M3a"),"L")))</f>
        <v>L</v>
      </c>
      <c r="U45" s="63" t="str">
        <f aca="false">IF('Calibración de turnos'!$B$24="T1",MID("DDNNLL",MOD($A45-1+'Calibración de turnos'!$D$24,6)+1,1),IF('Calibración de turnos'!$B$24="T2",IF(MOD($A45-1,7)+1&lt;=5,IF(MOD(INT(($A45-1)/7)+'Calibración de turnos'!$D$24,2)=0,"M2","T2"),"L"),IF(MOD($A45-1,7)+1&lt;=5,IF('Calibración de turnos'!$E$24=13,"M3b","M3a"),"L")))</f>
        <v>L</v>
      </c>
      <c r="V45" s="63" t="str">
        <f aca="false">IF('Calibración de turnos'!$B$25="T1",MID("DDNNLL",MOD($A45-1+'Calibración de turnos'!$D$25,6)+1,1),IF('Calibración de turnos'!$B$25="T2",IF(MOD($A45-1,7)+1&lt;=5,IF(MOD(INT(($A45-1)/7)+'Calibración de turnos'!$D$25,2)=0,"M2","T2"),"L"),IF(MOD($A45-1,7)+1&lt;=5,IF('Calibración de turnos'!$E$25=13,"M3b","M3a"),"L")))</f>
        <v>L</v>
      </c>
    </row>
    <row r="46" customFormat="false" ht="15" hidden="false" customHeight="false" outlineLevel="0" collapsed="false">
      <c r="A46" s="18" t="n">
        <v>42</v>
      </c>
      <c r="B46" s="18" t="str">
        <f aca="false">CHOOSE(MOD(A46-1,7)+1,"lunes","martes","miércoles","jueves","viernes","sábado","domingo")</f>
        <v>domingo</v>
      </c>
      <c r="C46" s="63" t="str">
        <f aca="false">IF('Calibración de turnos'!$B$6="T1",MID("DDNNLL",MOD($A46-1+'Calibración de turnos'!$D$6,6)+1,1),IF('Calibración de turnos'!$B$6="T2",IF(MOD($A46-1,7)+1&lt;=5,IF(MOD(INT(($A46-1)/7)+'Calibración de turnos'!$D$6,2)=0,"M2","T2"),"L"),IF(MOD($A46-1,7)+1&lt;=5,IF('Calibración de turnos'!$E$6=13,"M3b","M3a"),"L")))</f>
        <v>L</v>
      </c>
      <c r="D46" s="63" t="str">
        <f aca="false">IF('Calibración de turnos'!$B$7="T1",MID("DDNNLL",MOD($A46-1+'Calibración de turnos'!$D$7,6)+1,1),IF('Calibración de turnos'!$B$7="T2",IF(MOD($A46-1,7)+1&lt;=5,IF(MOD(INT(($A46-1)/7)+'Calibración de turnos'!$D$7,2)=0,"M2","T2"),"L"),IF(MOD($A46-1,7)+1&lt;=5,IF('Calibración de turnos'!$E$7=13,"M3b","M3a"),"L")))</f>
        <v>D</v>
      </c>
      <c r="E46" s="63" t="str">
        <f aca="false">IF('Calibración de turnos'!$B$8="T1",MID("DDNNLL",MOD($A46-1+'Calibración de turnos'!$D$8,6)+1,1),IF('Calibración de turnos'!$B$8="T2",IF(MOD($A46-1,7)+1&lt;=5,IF(MOD(INT(($A46-1)/7)+'Calibración de turnos'!$D$8,2)=0,"M2","T2"),"L"),IF(MOD($A46-1,7)+1&lt;=5,IF('Calibración de turnos'!$E$8=13,"M3b","M3a"),"L")))</f>
        <v>L</v>
      </c>
      <c r="F46" s="63" t="str">
        <f aca="false">IF('Calibración de turnos'!$B$9="T1",MID("DDNNLL",MOD($A46-1+'Calibración de turnos'!$D$9,6)+1,1),IF('Calibración de turnos'!$B$9="T2",IF(MOD($A46-1,7)+1&lt;=5,IF(MOD(INT(($A46-1)/7)+'Calibración de turnos'!$D$9,2)=0,"M2","T2"),"L"),IF(MOD($A46-1,7)+1&lt;=5,IF('Calibración de turnos'!$E$9=13,"M3b","M3a"),"L")))</f>
        <v>D</v>
      </c>
      <c r="G46" s="63" t="str">
        <f aca="false">IF('Calibración de turnos'!$B$10="T1",MID("DDNNLL",MOD($A46-1+'Calibración de turnos'!$D$10,6)+1,1),IF('Calibración de turnos'!$B$10="T2",IF(MOD($A46-1,7)+1&lt;=5,IF(MOD(INT(($A46-1)/7)+'Calibración de turnos'!$D$10,2)=0,"M2","T2"),"L"),IF(MOD($A46-1,7)+1&lt;=5,IF('Calibración de turnos'!$E$10=13,"M3b","M3a"),"L")))</f>
        <v>N</v>
      </c>
      <c r="H46" s="63" t="str">
        <f aca="false">IF('Calibración de turnos'!$B$11="T1",MID("DDNNLL",MOD($A46-1+'Calibración de turnos'!$D$11,6)+1,1),IF('Calibración de turnos'!$B$11="T2",IF(MOD($A46-1,7)+1&lt;=5,IF(MOD(INT(($A46-1)/7)+'Calibración de turnos'!$D$11,2)=0,"M2","T2"),"L"),IF(MOD($A46-1,7)+1&lt;=5,IF('Calibración de turnos'!$E$11=13,"M3b","M3a"),"L")))</f>
        <v>N</v>
      </c>
      <c r="I46" s="63" t="str">
        <f aca="false">IF('Calibración de turnos'!$B$12="T1",MID("DDNNLL",MOD($A46-1+'Calibración de turnos'!$D$12,6)+1,1),IF('Calibración de turnos'!$B$12="T2",IF(MOD($A46-1,7)+1&lt;=5,IF(MOD(INT(($A46-1)/7)+'Calibración de turnos'!$D$12,2)=0,"M2","T2"),"L"),IF(MOD($A46-1,7)+1&lt;=5,IF('Calibración de turnos'!$E$12=13,"M3b","M3a"),"L")))</f>
        <v>L</v>
      </c>
      <c r="J46" s="63" t="str">
        <f aca="false">IF('Calibración de turnos'!$B$13="T1",MID("DDNNLL",MOD($A46-1+'Calibración de turnos'!$D$13,6)+1,1),IF('Calibración de turnos'!$B$13="T2",IF(MOD($A46-1,7)+1&lt;=5,IF(MOD(INT(($A46-1)/7)+'Calibración de turnos'!$D$13,2)=0,"M2","T2"),"L"),IF(MOD($A46-1,7)+1&lt;=5,IF('Calibración de turnos'!$E$13=13,"M3b","M3a"),"L")))</f>
        <v>L</v>
      </c>
      <c r="K46" s="63" t="str">
        <f aca="false">IF('Calibración de turnos'!$B$14="T1",MID("DDNNLL",MOD($A46-1+'Calibración de turnos'!$D$14,6)+1,1),IF('Calibración de turnos'!$B$14="T2",IF(MOD($A46-1,7)+1&lt;=5,IF(MOD(INT(($A46-1)/7)+'Calibración de turnos'!$D$14,2)=0,"M2","T2"),"L"),IF(MOD($A46-1,7)+1&lt;=5,IF('Calibración de turnos'!$E$14=13,"M3b","M3a"),"L")))</f>
        <v>L</v>
      </c>
      <c r="L46" s="63" t="str">
        <f aca="false">IF('Calibración de turnos'!$B$15="T1",MID("DDNNLL",MOD($A46-1+'Calibración de turnos'!$D$15,6)+1,1),IF('Calibración de turnos'!$B$15="T2",IF(MOD($A46-1,7)+1&lt;=5,IF(MOD(INT(($A46-1)/7)+'Calibración de turnos'!$D$15,2)=0,"M2","T2"),"L"),IF(MOD($A46-1,7)+1&lt;=5,IF('Calibración de turnos'!$E$15=13,"M3b","M3a"),"L")))</f>
        <v>L</v>
      </c>
      <c r="M46" s="63" t="str">
        <f aca="false">IF('Calibración de turnos'!$B$16="T1",MID("DDNNLL",MOD($A46-1+'Calibración de turnos'!$D$16,6)+1,1),IF('Calibración de turnos'!$B$16="T2",IF(MOD($A46-1,7)+1&lt;=5,IF(MOD(INT(($A46-1)/7)+'Calibración de turnos'!$D$16,2)=0,"M2","T2"),"L"),IF(MOD($A46-1,7)+1&lt;=5,IF('Calibración de turnos'!$E$16=13,"M3b","M3a"),"L")))</f>
        <v>L</v>
      </c>
      <c r="N46" s="63" t="str">
        <f aca="false">IF('Calibración de turnos'!$B$17="T1",MID("DDNNLL",MOD($A46-1+'Calibración de turnos'!$D$17,6)+1,1),IF('Calibración de turnos'!$B$17="T2",IF(MOD($A46-1,7)+1&lt;=5,IF(MOD(INT(($A46-1)/7)+'Calibración de turnos'!$D$17,2)=0,"M2","T2"),"L"),IF(MOD($A46-1,7)+1&lt;=5,IF('Calibración de turnos'!$E$17=13,"M3b","M3a"),"L")))</f>
        <v>L</v>
      </c>
      <c r="O46" s="63" t="str">
        <f aca="false">IF('Calibración de turnos'!$B$18="T1",MID("DDNNLL",MOD($A46-1+'Calibración de turnos'!$D$18,6)+1,1),IF('Calibración de turnos'!$B$18="T2",IF(MOD($A46-1,7)+1&lt;=5,IF(MOD(INT(($A46-1)/7)+'Calibración de turnos'!$D$18,2)=0,"M2","T2"),"L"),IF(MOD($A46-1,7)+1&lt;=5,IF('Calibración de turnos'!$E$18=13,"M3b","M3a"),"L")))</f>
        <v>L</v>
      </c>
      <c r="P46" s="63" t="str">
        <f aca="false">IF('Calibración de turnos'!$B$19="T1",MID("DDNNLL",MOD($A46-1+'Calibración de turnos'!$D$19,6)+1,1),IF('Calibración de turnos'!$B$19="T2",IF(MOD($A46-1,7)+1&lt;=5,IF(MOD(INT(($A46-1)/7)+'Calibración de turnos'!$D$19,2)=0,"M2","T2"),"L"),IF(MOD($A46-1,7)+1&lt;=5,IF('Calibración de turnos'!$E$19=13,"M3b","M3a"),"L")))</f>
        <v>L</v>
      </c>
      <c r="Q46" s="63" t="str">
        <f aca="false">IF('Calibración de turnos'!$B$20="T1",MID("DDNNLL",MOD($A46-1+'Calibración de turnos'!$D$20,6)+1,1),IF('Calibración de turnos'!$B$20="T2",IF(MOD($A46-1,7)+1&lt;=5,IF(MOD(INT(($A46-1)/7)+'Calibración de turnos'!$D$20,2)=0,"M2","T2"),"L"),IF(MOD($A46-1,7)+1&lt;=5,IF('Calibración de turnos'!$E$20=13,"M3b","M3a"),"L")))</f>
        <v>L</v>
      </c>
      <c r="R46" s="63" t="str">
        <f aca="false">IF('Calibración de turnos'!$B$21="T1",MID("DDNNLL",MOD($A46-1+'Calibración de turnos'!$D$21,6)+1,1),IF('Calibración de turnos'!$B$21="T2",IF(MOD($A46-1,7)+1&lt;=5,IF(MOD(INT(($A46-1)/7)+'Calibración de turnos'!$D$21,2)=0,"M2","T2"),"L"),IF(MOD($A46-1,7)+1&lt;=5,IF('Calibración de turnos'!$E$21=13,"M3b","M3a"),"L")))</f>
        <v>L</v>
      </c>
      <c r="S46" s="63" t="str">
        <f aca="false">IF('Calibración de turnos'!$B$22="T1",MID("DDNNLL",MOD($A46-1+'Calibración de turnos'!$D$22,6)+1,1),IF('Calibración de turnos'!$B$22="T2",IF(MOD($A46-1,7)+1&lt;=5,IF(MOD(INT(($A46-1)/7)+'Calibración de turnos'!$D$22,2)=0,"M2","T2"),"L"),IF(MOD($A46-1,7)+1&lt;=5,IF('Calibración de turnos'!$E$22=13,"M3b","M3a"),"L")))</f>
        <v>L</v>
      </c>
      <c r="T46" s="63" t="str">
        <f aca="false">IF('Calibración de turnos'!$B$23="T1",MID("DDNNLL",MOD($A46-1+'Calibración de turnos'!$D$23,6)+1,1),IF('Calibración de turnos'!$B$23="T2",IF(MOD($A46-1,7)+1&lt;=5,IF(MOD(INT(($A46-1)/7)+'Calibración de turnos'!$D$23,2)=0,"M2","T2"),"L"),IF(MOD($A46-1,7)+1&lt;=5,IF('Calibración de turnos'!$E$23=13,"M3b","M3a"),"L")))</f>
        <v>L</v>
      </c>
      <c r="U46" s="63" t="str">
        <f aca="false">IF('Calibración de turnos'!$B$24="T1",MID("DDNNLL",MOD($A46-1+'Calibración de turnos'!$D$24,6)+1,1),IF('Calibración de turnos'!$B$24="T2",IF(MOD($A46-1,7)+1&lt;=5,IF(MOD(INT(($A46-1)/7)+'Calibración de turnos'!$D$24,2)=0,"M2","T2"),"L"),IF(MOD($A46-1,7)+1&lt;=5,IF('Calibración de turnos'!$E$24=13,"M3b","M3a"),"L")))</f>
        <v>L</v>
      </c>
      <c r="V46" s="63" t="str">
        <f aca="false">IF('Calibración de turnos'!$B$25="T1",MID("DDNNLL",MOD($A46-1+'Calibración de turnos'!$D$25,6)+1,1),IF('Calibración de turnos'!$B$25="T2",IF(MOD($A46-1,7)+1&lt;=5,IF(MOD(INT(($A46-1)/7)+'Calibración de turnos'!$D$25,2)=0,"M2","T2"),"L"),IF(MOD($A46-1,7)+1&lt;=5,IF('Calibración de turnos'!$E$25=13,"M3b","M3a"),"L")))</f>
        <v>L</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9"/>
    <col collapsed="false" customWidth="true" hidden="false" outlineLevel="0" max="5" min="4" style="0" width="13"/>
    <col collapsed="false" customWidth="true" hidden="false" outlineLevel="0" max="6" min="6" style="0" width="12"/>
    <col collapsed="false" customWidth="true" hidden="false" outlineLevel="0" max="8" min="7" style="0" width="13"/>
    <col collapsed="false" customWidth="true" hidden="false" outlineLevel="0" max="9" min="9" style="0" width="11"/>
    <col collapsed="false" customWidth="true" hidden="false" outlineLevel="0" max="10" min="10" style="0" width="13"/>
    <col collapsed="false" customWidth="true" hidden="false" outlineLevel="0" max="12" min="11" style="0" width="12"/>
    <col collapsed="false" customWidth="true" hidden="false" outlineLevel="0" max="13" min="13" style="0" width="44"/>
  </cols>
  <sheetData>
    <row r="1" customFormat="false" ht="17.35" hidden="false" customHeight="false" outlineLevel="0" collapsed="false">
      <c r="A1" s="1" t="s">
        <v>976</v>
      </c>
    </row>
    <row r="2" customFormat="false" ht="15" hidden="false" customHeight="false" outlineLevel="0" collapsed="false">
      <c r="A2" s="2" t="s">
        <v>977</v>
      </c>
    </row>
    <row r="3" customFormat="false" ht="15" hidden="false" customHeight="false" outlineLevel="0" collapsed="false">
      <c r="A3" s="17" t="s">
        <v>978</v>
      </c>
    </row>
    <row r="4" customFormat="false" ht="46.25" hidden="false" customHeight="false" outlineLevel="0" collapsed="false">
      <c r="A4" s="10" t="s">
        <v>749</v>
      </c>
      <c r="B4" s="10" t="s">
        <v>833</v>
      </c>
      <c r="C4" s="10" t="s">
        <v>834</v>
      </c>
      <c r="D4" s="10" t="s">
        <v>979</v>
      </c>
      <c r="E4" s="10" t="s">
        <v>980</v>
      </c>
      <c r="F4" s="10" t="s">
        <v>981</v>
      </c>
      <c r="G4" s="10" t="s">
        <v>982</v>
      </c>
      <c r="H4" s="10" t="s">
        <v>983</v>
      </c>
      <c r="I4" s="10" t="s">
        <v>984</v>
      </c>
      <c r="J4" s="10" t="s">
        <v>985</v>
      </c>
      <c r="K4" s="10" t="s">
        <v>986</v>
      </c>
      <c r="L4" s="10" t="s">
        <v>987</v>
      </c>
      <c r="M4" s="10" t="s">
        <v>764</v>
      </c>
    </row>
    <row r="5" customFormat="false" ht="23.85" hidden="false" customHeight="false" outlineLevel="0" collapsed="false">
      <c r="A5" s="11" t="s">
        <v>841</v>
      </c>
      <c r="B5" s="11" t="s">
        <v>842</v>
      </c>
      <c r="C5" s="11" t="n">
        <f aca="false">Equipos!D5</f>
        <v>15</v>
      </c>
      <c r="D5" s="40" t="n">
        <v>1</v>
      </c>
      <c r="E5" s="40" t="n">
        <v>8</v>
      </c>
      <c r="F5" s="40" t="n">
        <v>3</v>
      </c>
      <c r="G5" s="40" t="n">
        <v>2</v>
      </c>
      <c r="H5" s="41" t="n">
        <f aca="false">D5*E5+F5*G5</f>
        <v>14</v>
      </c>
      <c r="I5" s="44" t="n">
        <f aca="false">H5/(24*Demanda!$B$14)</f>
        <v>0.00159817351598174</v>
      </c>
      <c r="J5" s="11" t="n">
        <f aca="false">INT(65/C5)</f>
        <v>4</v>
      </c>
      <c r="K5" s="44" t="n">
        <f aca="false">Supuestos!$D$6</f>
        <v>0.05</v>
      </c>
      <c r="L5" s="42" t="n">
        <f aca="false">1-I5-K5</f>
        <v>0.948401826484018</v>
      </c>
      <c r="M5" s="11" t="s">
        <v>988</v>
      </c>
    </row>
    <row r="6" customFormat="false" ht="23.85" hidden="false" customHeight="false" outlineLevel="0" collapsed="false">
      <c r="A6" s="11" t="s">
        <v>844</v>
      </c>
      <c r="B6" s="11" t="s">
        <v>845</v>
      </c>
      <c r="C6" s="11" t="n">
        <f aca="false">Equipos!D6</f>
        <v>26</v>
      </c>
      <c r="D6" s="40" t="n">
        <v>1</v>
      </c>
      <c r="E6" s="40" t="n">
        <v>8</v>
      </c>
      <c r="F6" s="40" t="n">
        <v>3</v>
      </c>
      <c r="G6" s="40" t="n">
        <v>2</v>
      </c>
      <c r="H6" s="41" t="n">
        <f aca="false">D6*E6+F6*G6</f>
        <v>14</v>
      </c>
      <c r="I6" s="44" t="n">
        <f aca="false">H6/(24*Demanda!$B$14)</f>
        <v>0.00159817351598174</v>
      </c>
      <c r="J6" s="11" t="n">
        <f aca="false">INT(65/C6)</f>
        <v>2</v>
      </c>
      <c r="K6" s="44" t="n">
        <f aca="false">Supuestos!$D$6</f>
        <v>0.05</v>
      </c>
      <c r="L6" s="42" t="n">
        <f aca="false">1-I6-K6</f>
        <v>0.948401826484018</v>
      </c>
      <c r="M6" s="11" t="s">
        <v>988</v>
      </c>
    </row>
    <row r="7" customFormat="false" ht="23.85" hidden="false" customHeight="false" outlineLevel="0" collapsed="false">
      <c r="A7" s="11" t="s">
        <v>846</v>
      </c>
      <c r="B7" s="11" t="s">
        <v>847</v>
      </c>
      <c r="C7" s="11" t="n">
        <f aca="false">Equipos!D7</f>
        <v>4</v>
      </c>
      <c r="D7" s="40" t="n">
        <v>1</v>
      </c>
      <c r="E7" s="40" t="n">
        <v>8</v>
      </c>
      <c r="F7" s="40" t="n">
        <v>3</v>
      </c>
      <c r="G7" s="40" t="n">
        <v>2</v>
      </c>
      <c r="H7" s="41" t="n">
        <f aca="false">D7*E7+F7*G7</f>
        <v>14</v>
      </c>
      <c r="I7" s="44" t="n">
        <f aca="false">H7/(24*Demanda!$B$14)</f>
        <v>0.00159817351598174</v>
      </c>
      <c r="J7" s="11" t="n">
        <f aca="false">INT(65/C7)</f>
        <v>16</v>
      </c>
      <c r="K7" s="44" t="n">
        <f aca="false">Supuestos!$D$6</f>
        <v>0.05</v>
      </c>
      <c r="L7" s="42" t="n">
        <f aca="false">1-I7-K7</f>
        <v>0.948401826484018</v>
      </c>
      <c r="M7" s="11" t="s">
        <v>988</v>
      </c>
    </row>
    <row r="8" customFormat="false" ht="23.85" hidden="false" customHeight="false" outlineLevel="0" collapsed="false">
      <c r="A8" s="11" t="s">
        <v>848</v>
      </c>
      <c r="B8" s="11" t="s">
        <v>849</v>
      </c>
      <c r="C8" s="11" t="n">
        <f aca="false">Equipos!D8</f>
        <v>11</v>
      </c>
      <c r="D8" s="40" t="n">
        <v>1</v>
      </c>
      <c r="E8" s="40" t="n">
        <v>8</v>
      </c>
      <c r="F8" s="40" t="n">
        <v>3</v>
      </c>
      <c r="G8" s="40" t="n">
        <v>2</v>
      </c>
      <c r="H8" s="41" t="n">
        <f aca="false">D8*E8+F8*G8</f>
        <v>14</v>
      </c>
      <c r="I8" s="44" t="n">
        <f aca="false">H8/(24*Demanda!$B$14)</f>
        <v>0.00159817351598174</v>
      </c>
      <c r="J8" s="11" t="n">
        <f aca="false">INT(65/C8)</f>
        <v>5</v>
      </c>
      <c r="K8" s="44" t="n">
        <f aca="false">Supuestos!$D$6</f>
        <v>0.05</v>
      </c>
      <c r="L8" s="42" t="n">
        <f aca="false">1-I8-K8</f>
        <v>0.948401826484018</v>
      </c>
      <c r="M8" s="11" t="s">
        <v>988</v>
      </c>
    </row>
    <row r="9" customFormat="false" ht="23.85" hidden="false" customHeight="false" outlineLevel="0" collapsed="false">
      <c r="A9" s="11" t="s">
        <v>850</v>
      </c>
      <c r="B9" s="11" t="s">
        <v>851</v>
      </c>
      <c r="C9" s="11" t="n">
        <f aca="false">Equipos!D9</f>
        <v>2</v>
      </c>
      <c r="D9" s="40" t="n">
        <v>1</v>
      </c>
      <c r="E9" s="40" t="n">
        <v>4</v>
      </c>
      <c r="F9" s="40" t="n">
        <v>3</v>
      </c>
      <c r="G9" s="40" t="n">
        <v>2</v>
      </c>
      <c r="H9" s="41" t="n">
        <f aca="false">D9*E9+F9*G9</f>
        <v>10</v>
      </c>
      <c r="I9" s="44" t="n">
        <f aca="false">H9/(24*Demanda!$B$14)</f>
        <v>0.00114155251141553</v>
      </c>
      <c r="J9" s="11" t="n">
        <f aca="false">INT(65/C9)</f>
        <v>32</v>
      </c>
      <c r="K9" s="44" t="n">
        <f aca="false">Supuestos!$D$6</f>
        <v>0.05</v>
      </c>
      <c r="L9" s="42" t="n">
        <f aca="false">1-I9-K9</f>
        <v>0.948858447488584</v>
      </c>
      <c r="M9" s="11" t="s">
        <v>988</v>
      </c>
    </row>
    <row r="10" customFormat="false" ht="23.85" hidden="false" customHeight="false" outlineLevel="0" collapsed="false">
      <c r="A10" s="11" t="s">
        <v>852</v>
      </c>
      <c r="B10" s="11" t="s">
        <v>853</v>
      </c>
      <c r="C10" s="11" t="n">
        <f aca="false">Equipos!D10</f>
        <v>3</v>
      </c>
      <c r="D10" s="40" t="n">
        <v>1</v>
      </c>
      <c r="E10" s="40" t="n">
        <v>4</v>
      </c>
      <c r="F10" s="40" t="n">
        <v>3</v>
      </c>
      <c r="G10" s="40" t="n">
        <v>2</v>
      </c>
      <c r="H10" s="41" t="n">
        <f aca="false">D10*E10+F10*G10</f>
        <v>10</v>
      </c>
      <c r="I10" s="44" t="n">
        <f aca="false">H10/(24*Demanda!$B$14)</f>
        <v>0.00114155251141553</v>
      </c>
      <c r="J10" s="11" t="n">
        <f aca="false">INT(65/C10)</f>
        <v>21</v>
      </c>
      <c r="K10" s="44" t="n">
        <f aca="false">Supuestos!$D$6</f>
        <v>0.05</v>
      </c>
      <c r="L10" s="42" t="n">
        <f aca="false">1-I10-K10</f>
        <v>0.948858447488584</v>
      </c>
      <c r="M10" s="11" t="s">
        <v>988</v>
      </c>
    </row>
    <row r="11" customFormat="false" ht="23.85" hidden="false" customHeight="false" outlineLevel="0" collapsed="false">
      <c r="A11" s="11" t="s">
        <v>854</v>
      </c>
      <c r="B11" s="11" t="s">
        <v>855</v>
      </c>
      <c r="C11" s="11" t="n">
        <f aca="false">Equipos!D11</f>
        <v>2</v>
      </c>
      <c r="D11" s="40" t="n">
        <v>1</v>
      </c>
      <c r="E11" s="40" t="n">
        <v>4</v>
      </c>
      <c r="F11" s="40" t="n">
        <v>3</v>
      </c>
      <c r="G11" s="40" t="n">
        <v>2</v>
      </c>
      <c r="H11" s="41" t="n">
        <f aca="false">D11*E11+F11*G11</f>
        <v>10</v>
      </c>
      <c r="I11" s="44" t="n">
        <f aca="false">H11/(24*Demanda!$B$14)</f>
        <v>0.00114155251141553</v>
      </c>
      <c r="J11" s="11" t="n">
        <f aca="false">INT(65/C11)</f>
        <v>32</v>
      </c>
      <c r="K11" s="44" t="n">
        <f aca="false">Supuestos!$D$6</f>
        <v>0.05</v>
      </c>
      <c r="L11" s="42" t="n">
        <f aca="false">1-I11-K11</f>
        <v>0.948858447488584</v>
      </c>
      <c r="M11" s="11" t="s">
        <v>988</v>
      </c>
    </row>
    <row r="12" customFormat="false" ht="23.85" hidden="false" customHeight="false" outlineLevel="0" collapsed="false">
      <c r="A12" s="11" t="s">
        <v>856</v>
      </c>
      <c r="B12" s="11" t="s">
        <v>857</v>
      </c>
      <c r="C12" s="11" t="n">
        <f aca="false">Equipos!D12</f>
        <v>2</v>
      </c>
      <c r="D12" s="40" t="n">
        <v>1</v>
      </c>
      <c r="E12" s="40" t="n">
        <v>4</v>
      </c>
      <c r="F12" s="40" t="n">
        <v>3</v>
      </c>
      <c r="G12" s="40" t="n">
        <v>2</v>
      </c>
      <c r="H12" s="41" t="n">
        <f aca="false">D12*E12+F12*G12</f>
        <v>10</v>
      </c>
      <c r="I12" s="44" t="n">
        <f aca="false">H12/(24*Demanda!$B$14)</f>
        <v>0.00114155251141553</v>
      </c>
      <c r="J12" s="11" t="n">
        <f aca="false">INT(65/C12)</f>
        <v>32</v>
      </c>
      <c r="K12" s="44" t="n">
        <f aca="false">Supuestos!$D$6</f>
        <v>0.05</v>
      </c>
      <c r="L12" s="42" t="n">
        <f aca="false">1-I12-K12</f>
        <v>0.948858447488584</v>
      </c>
      <c r="M12" s="11" t="s">
        <v>988</v>
      </c>
    </row>
    <row r="13" customFormat="false" ht="23.85" hidden="false" customHeight="false" outlineLevel="0" collapsed="false">
      <c r="A13" s="11" t="s">
        <v>506</v>
      </c>
      <c r="B13" s="11" t="s">
        <v>674</v>
      </c>
      <c r="C13" s="11" t="n">
        <f aca="false">Equipos!D13</f>
        <v>3</v>
      </c>
      <c r="D13" s="40" t="n">
        <v>1</v>
      </c>
      <c r="E13" s="40" t="n">
        <v>8</v>
      </c>
      <c r="F13" s="40" t="n">
        <v>3</v>
      </c>
      <c r="G13" s="40" t="n">
        <v>2</v>
      </c>
      <c r="H13" s="41" t="n">
        <f aca="false">D13*E13+F13*G13</f>
        <v>14</v>
      </c>
      <c r="I13" s="44" t="n">
        <f aca="false">H13/(24*Demanda!$B$14)</f>
        <v>0.00159817351598174</v>
      </c>
      <c r="J13" s="11" t="n">
        <f aca="false">INT(65/C13)</f>
        <v>21</v>
      </c>
      <c r="K13" s="44" t="n">
        <f aca="false">Supuestos!$D$6</f>
        <v>0.05</v>
      </c>
      <c r="L13" s="42" t="n">
        <f aca="false">1-I13-K13</f>
        <v>0.948401826484018</v>
      </c>
      <c r="M13" s="11" t="s">
        <v>988</v>
      </c>
    </row>
    <row r="14" customFormat="false" ht="23.85" hidden="false" customHeight="false" outlineLevel="0" collapsed="false">
      <c r="A14" s="11" t="s">
        <v>510</v>
      </c>
      <c r="B14" s="11" t="s">
        <v>684</v>
      </c>
      <c r="C14" s="11" t="n">
        <f aca="false">Equipos!D14</f>
        <v>2</v>
      </c>
      <c r="D14" s="40" t="n">
        <v>1</v>
      </c>
      <c r="E14" s="40" t="n">
        <v>8</v>
      </c>
      <c r="F14" s="40" t="n">
        <v>3</v>
      </c>
      <c r="G14" s="40" t="n">
        <v>2</v>
      </c>
      <c r="H14" s="41" t="n">
        <f aca="false">D14*E14+F14*G14</f>
        <v>14</v>
      </c>
      <c r="I14" s="44" t="n">
        <f aca="false">H14/(24*Demanda!$B$14)</f>
        <v>0.00159817351598174</v>
      </c>
      <c r="J14" s="11" t="n">
        <f aca="false">INT(65/C14)</f>
        <v>32</v>
      </c>
      <c r="K14" s="44" t="n">
        <f aca="false">Supuestos!$D$6</f>
        <v>0.05</v>
      </c>
      <c r="L14" s="42" t="n">
        <f aca="false">1-I14-K14</f>
        <v>0.948401826484018</v>
      </c>
      <c r="M14" s="11" t="s">
        <v>988</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30"/>
    <col collapsed="false" customWidth="true" hidden="false" outlineLevel="0" max="5" min="4" style="0" width="14"/>
    <col collapsed="false" customWidth="true" hidden="false" outlineLevel="0" max="8" min="6" style="0" width="10"/>
    <col collapsed="false" customWidth="true" hidden="false" outlineLevel="0" max="10" min="9" style="0" width="12"/>
    <col collapsed="false" customWidth="true" hidden="false" outlineLevel="0" max="11" min="11" style="0" width="30"/>
  </cols>
  <sheetData>
    <row r="1" customFormat="false" ht="17.35" hidden="false" customHeight="false" outlineLevel="0" collapsed="false">
      <c r="A1" s="1" t="s">
        <v>989</v>
      </c>
    </row>
    <row r="2" customFormat="false" ht="15" hidden="false" customHeight="false" outlineLevel="0" collapsed="false">
      <c r="A2" s="2" t="s">
        <v>990</v>
      </c>
    </row>
    <row r="4" customFormat="false" ht="15" hidden="false" customHeight="false" outlineLevel="0" collapsed="false">
      <c r="A4" s="5" t="s">
        <v>991</v>
      </c>
    </row>
    <row r="5" customFormat="false" ht="23.85" hidden="false" customHeight="false" outlineLevel="0" collapsed="false">
      <c r="A5" s="10" t="s">
        <v>992</v>
      </c>
      <c r="B5" s="10" t="s">
        <v>861</v>
      </c>
      <c r="C5" s="10" t="s">
        <v>993</v>
      </c>
      <c r="D5" s="10" t="s">
        <v>994</v>
      </c>
      <c r="E5" s="10" t="s">
        <v>995</v>
      </c>
    </row>
    <row r="6" customFormat="false" ht="15" hidden="false" customHeight="false" outlineLevel="0" collapsed="false">
      <c r="A6" s="11" t="s">
        <v>865</v>
      </c>
      <c r="B6" s="11" t="str">
        <f aca="false">Analistas!B5</f>
        <v>T1</v>
      </c>
      <c r="C6" s="11" t="str">
        <f aca="false">IF(B6="T1","2 días, 2 noches, 2 libres",IF(B6="T2","Semana de mañana y semana de tarde","Lunes a viernes, 8:00 a 17:00"))</f>
        <v>2 días, 2 noches, 2 libres</v>
      </c>
      <c r="D6" s="45" t="n">
        <v>0</v>
      </c>
      <c r="E6" s="45"/>
    </row>
    <row r="7" customFormat="false" ht="15" hidden="false" customHeight="false" outlineLevel="0" collapsed="false">
      <c r="A7" s="11" t="s">
        <v>870</v>
      </c>
      <c r="B7" s="11" t="str">
        <f aca="false">Analistas!B6</f>
        <v>T1</v>
      </c>
      <c r="C7" s="11" t="str">
        <f aca="false">IF(B7="T1","2 días, 2 noches, 2 libres",IF(B7="T2","Semana de mañana y semana de tarde","Lunes a viernes, 8:00 a 17:00"))</f>
        <v>2 días, 2 noches, 2 libres</v>
      </c>
      <c r="D7" s="45" t="n">
        <v>2</v>
      </c>
      <c r="E7" s="45"/>
    </row>
    <row r="8" customFormat="false" ht="15" hidden="false" customHeight="false" outlineLevel="0" collapsed="false">
      <c r="A8" s="11" t="s">
        <v>871</v>
      </c>
      <c r="B8" s="11" t="str">
        <f aca="false">Analistas!B7</f>
        <v>T1</v>
      </c>
      <c r="C8" s="11" t="str">
        <f aca="false">IF(B8="T1","2 días, 2 noches, 2 libres",IF(B8="T2","Semana de mañana y semana de tarde","Lunes a viernes, 8:00 a 17:00"))</f>
        <v>2 días, 2 noches, 2 libres</v>
      </c>
      <c r="D8" s="45" t="n">
        <v>0</v>
      </c>
      <c r="E8" s="45"/>
    </row>
    <row r="9" customFormat="false" ht="15" hidden="false" customHeight="false" outlineLevel="0" collapsed="false">
      <c r="A9" s="11" t="s">
        <v>873</v>
      </c>
      <c r="B9" s="11" t="str">
        <f aca="false">Analistas!B8</f>
        <v>T1</v>
      </c>
      <c r="C9" s="11" t="str">
        <f aca="false">IF(B9="T1","2 días, 2 noches, 2 libres",IF(B9="T2","Semana de mañana y semana de tarde","Lunes a viernes, 8:00 a 17:00"))</f>
        <v>2 días, 2 noches, 2 libres</v>
      </c>
      <c r="D9" s="45" t="n">
        <v>2</v>
      </c>
      <c r="E9" s="45"/>
    </row>
    <row r="10" customFormat="false" ht="15" hidden="false" customHeight="false" outlineLevel="0" collapsed="false">
      <c r="A10" s="11" t="s">
        <v>874</v>
      </c>
      <c r="B10" s="11" t="str">
        <f aca="false">Analistas!B9</f>
        <v>T1</v>
      </c>
      <c r="C10" s="11" t="str">
        <f aca="false">IF(B10="T1","2 días, 2 noches, 2 libres",IF(B10="T2","Semana de mañana y semana de tarde","Lunes a viernes, 8:00 a 17:00"))</f>
        <v>2 días, 2 noches, 2 libres</v>
      </c>
      <c r="D10" s="45" t="n">
        <v>4</v>
      </c>
      <c r="E10" s="45"/>
    </row>
    <row r="11" customFormat="false" ht="15" hidden="false" customHeight="false" outlineLevel="0" collapsed="false">
      <c r="A11" s="11" t="s">
        <v>875</v>
      </c>
      <c r="B11" s="11" t="str">
        <f aca="false">Analistas!B10</f>
        <v>T1</v>
      </c>
      <c r="C11" s="11" t="str">
        <f aca="false">IF(B11="T1","2 días, 2 noches, 2 libres",IF(B11="T2","Semana de mañana y semana de tarde","Lunes a viernes, 8:00 a 17:00"))</f>
        <v>2 días, 2 noches, 2 libres</v>
      </c>
      <c r="D11" s="45" t="n">
        <v>4</v>
      </c>
      <c r="E11" s="45"/>
    </row>
    <row r="12" customFormat="false" ht="23.85" hidden="false" customHeight="false" outlineLevel="0" collapsed="false">
      <c r="A12" s="11" t="s">
        <v>876</v>
      </c>
      <c r="B12" s="11" t="str">
        <f aca="false">Analistas!B11</f>
        <v>T2</v>
      </c>
      <c r="C12" s="11" t="str">
        <f aca="false">IF(B12="T1","2 días, 2 noches, 2 libres",IF(B12="T2","Semana de mañana y semana de tarde","Lunes a viernes, 8:00 a 17:00"))</f>
        <v>Semana de mañana y semana de tarde</v>
      </c>
      <c r="D12" s="45" t="n">
        <v>0</v>
      </c>
      <c r="E12" s="45"/>
    </row>
    <row r="13" customFormat="false" ht="23.85" hidden="false" customHeight="false" outlineLevel="0" collapsed="false">
      <c r="A13" s="11" t="s">
        <v>879</v>
      </c>
      <c r="B13" s="11" t="str">
        <f aca="false">Analistas!B12</f>
        <v>T2</v>
      </c>
      <c r="C13" s="11" t="str">
        <f aca="false">IF(B13="T1","2 días, 2 noches, 2 libres",IF(B13="T2","Semana de mañana y semana de tarde","Lunes a viernes, 8:00 a 17:00"))</f>
        <v>Semana de mañana y semana de tarde</v>
      </c>
      <c r="D13" s="45" t="n">
        <v>1</v>
      </c>
      <c r="E13" s="45"/>
    </row>
    <row r="14" customFormat="false" ht="23.85" hidden="false" customHeight="false" outlineLevel="0" collapsed="false">
      <c r="A14" s="11" t="s">
        <v>880</v>
      </c>
      <c r="B14" s="11" t="str">
        <f aca="false">Analistas!B13</f>
        <v>T2</v>
      </c>
      <c r="C14" s="11" t="str">
        <f aca="false">IF(B14="T1","2 días, 2 noches, 2 libres",IF(B14="T2","Semana de mañana y semana de tarde","Lunes a viernes, 8:00 a 17:00"))</f>
        <v>Semana de mañana y semana de tarde</v>
      </c>
      <c r="D14" s="45" t="n">
        <v>0</v>
      </c>
      <c r="E14" s="45"/>
    </row>
    <row r="15" customFormat="false" ht="23.85" hidden="false" customHeight="false" outlineLevel="0" collapsed="false">
      <c r="A15" s="11" t="s">
        <v>882</v>
      </c>
      <c r="B15" s="11" t="str">
        <f aca="false">Analistas!B14</f>
        <v>T2</v>
      </c>
      <c r="C15" s="11" t="str">
        <f aca="false">IF(B15="T1","2 días, 2 noches, 2 libres",IF(B15="T2","Semana de mañana y semana de tarde","Lunes a viernes, 8:00 a 17:00"))</f>
        <v>Semana de mañana y semana de tarde</v>
      </c>
      <c r="D15" s="45" t="n">
        <v>1</v>
      </c>
      <c r="E15" s="45"/>
    </row>
    <row r="16" customFormat="false" ht="15" hidden="false" customHeight="false" outlineLevel="0" collapsed="false">
      <c r="A16" s="11" t="s">
        <v>884</v>
      </c>
      <c r="B16" s="11" t="str">
        <f aca="false">Analistas!B15</f>
        <v>T3</v>
      </c>
      <c r="C16" s="11" t="str">
        <f aca="false">IF(B16="T1","2 días, 2 noches, 2 libres",IF(B16="T2","Semana de mañana y semana de tarde","Lunes a viernes, 8:00 a 17:00"))</f>
        <v>Lunes a viernes, 8:00 a 17:00</v>
      </c>
      <c r="D16" s="45" t="n">
        <v>0</v>
      </c>
      <c r="E16" s="45" t="n">
        <v>12</v>
      </c>
    </row>
    <row r="17" customFormat="false" ht="15" hidden="false" customHeight="false" outlineLevel="0" collapsed="false">
      <c r="A17" s="11" t="s">
        <v>886</v>
      </c>
      <c r="B17" s="11" t="str">
        <f aca="false">Analistas!B16</f>
        <v>T3</v>
      </c>
      <c r="C17" s="11" t="str">
        <f aca="false">IF(B17="T1","2 días, 2 noches, 2 libres",IF(B17="T2","Semana de mañana y semana de tarde","Lunes a viernes, 8:00 a 17:00"))</f>
        <v>Lunes a viernes, 8:00 a 17:00</v>
      </c>
      <c r="D17" s="45" t="n">
        <v>0</v>
      </c>
      <c r="E17" s="45" t="n">
        <v>12</v>
      </c>
    </row>
    <row r="18" customFormat="false" ht="15" hidden="false" customHeight="false" outlineLevel="0" collapsed="false">
      <c r="A18" s="11" t="s">
        <v>887</v>
      </c>
      <c r="B18" s="11" t="str">
        <f aca="false">Analistas!B17</f>
        <v>T3</v>
      </c>
      <c r="C18" s="11" t="str">
        <f aca="false">IF(B18="T1","2 días, 2 noches, 2 libres",IF(B18="T2","Semana de mañana y semana de tarde","Lunes a viernes, 8:00 a 17:00"))</f>
        <v>Lunes a viernes, 8:00 a 17:00</v>
      </c>
      <c r="D18" s="45" t="n">
        <v>0</v>
      </c>
      <c r="E18" s="45" t="n">
        <v>13</v>
      </c>
    </row>
    <row r="19" customFormat="false" ht="15" hidden="false" customHeight="false" outlineLevel="0" collapsed="false">
      <c r="A19" s="11" t="s">
        <v>888</v>
      </c>
      <c r="B19" s="11" t="str">
        <f aca="false">Analistas!B18</f>
        <v>T3</v>
      </c>
      <c r="C19" s="11" t="str">
        <f aca="false">IF(B19="T1","2 días, 2 noches, 2 libres",IF(B19="T2","Semana de mañana y semana de tarde","Lunes a viernes, 8:00 a 17:00"))</f>
        <v>Lunes a viernes, 8:00 a 17:00</v>
      </c>
      <c r="D19" s="45" t="n">
        <v>0</v>
      </c>
      <c r="E19" s="45" t="n">
        <v>12</v>
      </c>
    </row>
    <row r="20" customFormat="false" ht="15" hidden="false" customHeight="false" outlineLevel="0" collapsed="false">
      <c r="A20" s="11" t="s">
        <v>889</v>
      </c>
      <c r="B20" s="11" t="str">
        <f aca="false">Analistas!B19</f>
        <v>T3</v>
      </c>
      <c r="C20" s="11" t="str">
        <f aca="false">IF(B20="T1","2 días, 2 noches, 2 libres",IF(B20="T2","Semana de mañana y semana de tarde","Lunes a viernes, 8:00 a 17:00"))</f>
        <v>Lunes a viernes, 8:00 a 17:00</v>
      </c>
      <c r="D20" s="45" t="n">
        <v>0</v>
      </c>
      <c r="E20" s="45" t="n">
        <v>13</v>
      </c>
    </row>
    <row r="21" customFormat="false" ht="15" hidden="false" customHeight="false" outlineLevel="0" collapsed="false">
      <c r="A21" s="11" t="s">
        <v>890</v>
      </c>
      <c r="B21" s="11" t="str">
        <f aca="false">Analistas!B20</f>
        <v>T3</v>
      </c>
      <c r="C21" s="11" t="str">
        <f aca="false">IF(B21="T1","2 días, 2 noches, 2 libres",IF(B21="T2","Semana de mañana y semana de tarde","Lunes a viernes, 8:00 a 17:00"))</f>
        <v>Lunes a viernes, 8:00 a 17:00</v>
      </c>
      <c r="D21" s="45" t="n">
        <v>0</v>
      </c>
      <c r="E21" s="45" t="n">
        <v>13</v>
      </c>
    </row>
    <row r="22" customFormat="false" ht="15" hidden="false" customHeight="false" outlineLevel="0" collapsed="false">
      <c r="A22" s="11" t="s">
        <v>891</v>
      </c>
      <c r="B22" s="11" t="str">
        <f aca="false">Analistas!B21</f>
        <v>T3</v>
      </c>
      <c r="C22" s="11" t="str">
        <f aca="false">IF(B22="T1","2 días, 2 noches, 2 libres",IF(B22="T2","Semana de mañana y semana de tarde","Lunes a viernes, 8:00 a 17:00"))</f>
        <v>Lunes a viernes, 8:00 a 17:00</v>
      </c>
      <c r="D22" s="45" t="n">
        <v>0</v>
      </c>
      <c r="E22" s="45" t="n">
        <v>12</v>
      </c>
    </row>
    <row r="23" customFormat="false" ht="15" hidden="false" customHeight="false" outlineLevel="0" collapsed="false">
      <c r="A23" s="11" t="s">
        <v>892</v>
      </c>
      <c r="B23" s="11" t="str">
        <f aca="false">Analistas!B22</f>
        <v>T3</v>
      </c>
      <c r="C23" s="11" t="str">
        <f aca="false">IF(B23="T1","2 días, 2 noches, 2 libres",IF(B23="T2","Semana de mañana y semana de tarde","Lunes a viernes, 8:00 a 17:00"))</f>
        <v>Lunes a viernes, 8:00 a 17:00</v>
      </c>
      <c r="D23" s="45" t="n">
        <v>0</v>
      </c>
      <c r="E23" s="45" t="n">
        <v>13</v>
      </c>
    </row>
    <row r="24" customFormat="false" ht="15" hidden="false" customHeight="false" outlineLevel="0" collapsed="false">
      <c r="A24" s="11" t="s">
        <v>893</v>
      </c>
      <c r="B24" s="11" t="str">
        <f aca="false">Analistas!B23</f>
        <v>T3</v>
      </c>
      <c r="C24" s="11" t="str">
        <f aca="false">IF(B24="T1","2 días, 2 noches, 2 libres",IF(B24="T2","Semana de mañana y semana de tarde","Lunes a viernes, 8:00 a 17:00"))</f>
        <v>Lunes a viernes, 8:00 a 17:00</v>
      </c>
      <c r="D24" s="45" t="n">
        <v>0</v>
      </c>
      <c r="E24" s="45" t="n">
        <v>12</v>
      </c>
    </row>
    <row r="25" customFormat="false" ht="15" hidden="false" customHeight="false" outlineLevel="0" collapsed="false">
      <c r="A25" s="11" t="s">
        <v>894</v>
      </c>
      <c r="B25" s="11" t="str">
        <f aca="false">Analistas!B24</f>
        <v>T3</v>
      </c>
      <c r="C25" s="11" t="str">
        <f aca="false">IF(B25="T1","2 días, 2 noches, 2 libres",IF(B25="T2","Semana de mañana y semana de tarde","Lunes a viernes, 8:00 a 17:00"))</f>
        <v>Lunes a viernes, 8:00 a 17:00</v>
      </c>
      <c r="D25" s="45" t="n">
        <v>0</v>
      </c>
      <c r="E25" s="45" t="n">
        <v>13</v>
      </c>
    </row>
    <row r="28" customFormat="false" ht="15" hidden="false" customHeight="false" outlineLevel="0" collapsed="false">
      <c r="A28" s="5" t="s">
        <v>996</v>
      </c>
    </row>
    <row r="29" customFormat="false" ht="35.05" hidden="false" customHeight="false" outlineLevel="0" collapsed="false">
      <c r="A29" s="10" t="s">
        <v>992</v>
      </c>
      <c r="B29" s="10" t="s">
        <v>861</v>
      </c>
      <c r="C29" s="10" t="s">
        <v>997</v>
      </c>
      <c r="D29" s="10" t="s">
        <v>998</v>
      </c>
    </row>
    <row r="30" customFormat="false" ht="15" hidden="false" customHeight="false" outlineLevel="0" collapsed="false">
      <c r="A30" s="11" t="s">
        <v>865</v>
      </c>
      <c r="B30" s="11" t="str">
        <f aca="false">B6</f>
        <v>T1</v>
      </c>
      <c r="C30" s="43" t="n">
        <f aca="false">(COUNTIF(Rotación!C$5:C$46,Turnos!$A$5)*Turnos!$H$5+COUNTIF(Rotación!C$5:C$46,Turnos!$A$6)*Turnos!$H$6+COUNTIF(Rotación!C$5:C$46,Turnos!$A$7)*Turnos!$H$7+COUNTIF(Rotación!C$5:C$46,Turnos!$A$8)*Turnos!$H$8+COUNTIF(Rotación!C$5:C$46,Turnos!$A$9)*Turnos!$H$9+COUNTIF(Rotación!C$5:C$46,Turnos!$A$10)*Turnos!$H$10)/6</f>
        <v>56</v>
      </c>
      <c r="D30" s="43" t="n">
        <f aca="false">IF(B30="T1",2*24*7/6,IF(B30="T2",5*((17-8)+(24-17))/2,5*(17-8)))</f>
        <v>56</v>
      </c>
    </row>
    <row r="31" customFormat="false" ht="15" hidden="false" customHeight="false" outlineLevel="0" collapsed="false">
      <c r="A31" s="11" t="s">
        <v>870</v>
      </c>
      <c r="B31" s="11" t="str">
        <f aca="false">B7</f>
        <v>T1</v>
      </c>
      <c r="C31" s="43" t="n">
        <f aca="false">(COUNTIF(Rotación!D$5:D$46,Turnos!$A$5)*Turnos!$H$5+COUNTIF(Rotación!D$5:D$46,Turnos!$A$6)*Turnos!$H$6+COUNTIF(Rotación!D$5:D$46,Turnos!$A$7)*Turnos!$H$7+COUNTIF(Rotación!D$5:D$46,Turnos!$A$8)*Turnos!$H$8+COUNTIF(Rotación!D$5:D$46,Turnos!$A$9)*Turnos!$H$9+COUNTIF(Rotación!D$5:D$46,Turnos!$A$10)*Turnos!$H$10)/6</f>
        <v>56</v>
      </c>
      <c r="D31" s="43" t="n">
        <f aca="false">IF(B31="T1",2*24*7/6,IF(B31="T2",5*((17-8)+(24-17))/2,5*(17-8)))</f>
        <v>56</v>
      </c>
    </row>
    <row r="32" customFormat="false" ht="15" hidden="false" customHeight="false" outlineLevel="0" collapsed="false">
      <c r="A32" s="11" t="s">
        <v>871</v>
      </c>
      <c r="B32" s="11" t="str">
        <f aca="false">B8</f>
        <v>T1</v>
      </c>
      <c r="C32" s="43" t="n">
        <f aca="false">(COUNTIF(Rotación!E$5:E$46,Turnos!$A$5)*Turnos!$H$5+COUNTIF(Rotación!E$5:E$46,Turnos!$A$6)*Turnos!$H$6+COUNTIF(Rotación!E$5:E$46,Turnos!$A$7)*Turnos!$H$7+COUNTIF(Rotación!E$5:E$46,Turnos!$A$8)*Turnos!$H$8+COUNTIF(Rotación!E$5:E$46,Turnos!$A$9)*Turnos!$H$9+COUNTIF(Rotación!E$5:E$46,Turnos!$A$10)*Turnos!$H$10)/6</f>
        <v>56</v>
      </c>
      <c r="D32" s="43" t="n">
        <f aca="false">IF(B32="T1",2*24*7/6,IF(B32="T2",5*((17-8)+(24-17))/2,5*(17-8)))</f>
        <v>56</v>
      </c>
    </row>
    <row r="33" customFormat="false" ht="15" hidden="false" customHeight="false" outlineLevel="0" collapsed="false">
      <c r="A33" s="11" t="s">
        <v>873</v>
      </c>
      <c r="B33" s="11" t="str">
        <f aca="false">B9</f>
        <v>T1</v>
      </c>
      <c r="C33" s="43" t="n">
        <f aca="false">(COUNTIF(Rotación!F$5:F$46,Turnos!$A$5)*Turnos!$H$5+COUNTIF(Rotación!F$5:F$46,Turnos!$A$6)*Turnos!$H$6+COUNTIF(Rotación!F$5:F$46,Turnos!$A$7)*Turnos!$H$7+COUNTIF(Rotación!F$5:F$46,Turnos!$A$8)*Turnos!$H$8+COUNTIF(Rotación!F$5:F$46,Turnos!$A$9)*Turnos!$H$9+COUNTIF(Rotación!F$5:F$46,Turnos!$A$10)*Turnos!$H$10)/6</f>
        <v>56</v>
      </c>
      <c r="D33" s="43" t="n">
        <f aca="false">IF(B33="T1",2*24*7/6,IF(B33="T2",5*((17-8)+(24-17))/2,5*(17-8)))</f>
        <v>56</v>
      </c>
    </row>
    <row r="34" customFormat="false" ht="15" hidden="false" customHeight="false" outlineLevel="0" collapsed="false">
      <c r="A34" s="11" t="s">
        <v>874</v>
      </c>
      <c r="B34" s="11" t="str">
        <f aca="false">B10</f>
        <v>T1</v>
      </c>
      <c r="C34" s="43" t="n">
        <f aca="false">(COUNTIF(Rotación!G$5:G$46,Turnos!$A$5)*Turnos!$H$5+COUNTIF(Rotación!G$5:G$46,Turnos!$A$6)*Turnos!$H$6+COUNTIF(Rotación!G$5:G$46,Turnos!$A$7)*Turnos!$H$7+COUNTIF(Rotación!G$5:G$46,Turnos!$A$8)*Turnos!$H$8+COUNTIF(Rotación!G$5:G$46,Turnos!$A$9)*Turnos!$H$9+COUNTIF(Rotación!G$5:G$46,Turnos!$A$10)*Turnos!$H$10)/6</f>
        <v>56</v>
      </c>
      <c r="D34" s="43" t="n">
        <f aca="false">IF(B34="T1",2*24*7/6,IF(B34="T2",5*((17-8)+(24-17))/2,5*(17-8)))</f>
        <v>56</v>
      </c>
    </row>
    <row r="35" customFormat="false" ht="15" hidden="false" customHeight="false" outlineLevel="0" collapsed="false">
      <c r="A35" s="11" t="s">
        <v>875</v>
      </c>
      <c r="B35" s="11" t="str">
        <f aca="false">B11</f>
        <v>T1</v>
      </c>
      <c r="C35" s="43" t="n">
        <f aca="false">(COUNTIF(Rotación!H$5:H$46,Turnos!$A$5)*Turnos!$H$5+COUNTIF(Rotación!H$5:H$46,Turnos!$A$6)*Turnos!$H$6+COUNTIF(Rotación!H$5:H$46,Turnos!$A$7)*Turnos!$H$7+COUNTIF(Rotación!H$5:H$46,Turnos!$A$8)*Turnos!$H$8+COUNTIF(Rotación!H$5:H$46,Turnos!$A$9)*Turnos!$H$9+COUNTIF(Rotación!H$5:H$46,Turnos!$A$10)*Turnos!$H$10)/6</f>
        <v>56</v>
      </c>
      <c r="D35" s="43" t="n">
        <f aca="false">IF(B35="T1",2*24*7/6,IF(B35="T2",5*((17-8)+(24-17))/2,5*(17-8)))</f>
        <v>56</v>
      </c>
    </row>
    <row r="36" customFormat="false" ht="15" hidden="false" customHeight="false" outlineLevel="0" collapsed="false">
      <c r="A36" s="11" t="s">
        <v>876</v>
      </c>
      <c r="B36" s="11" t="str">
        <f aca="false">B12</f>
        <v>T2</v>
      </c>
      <c r="C36" s="43" t="n">
        <f aca="false">(COUNTIF(Rotación!I$5:I$46,Turnos!$A$5)*Turnos!$H$5+COUNTIF(Rotación!I$5:I$46,Turnos!$A$6)*Turnos!$H$6+COUNTIF(Rotación!I$5:I$46,Turnos!$A$7)*Turnos!$H$7+COUNTIF(Rotación!I$5:I$46,Turnos!$A$8)*Turnos!$H$8+COUNTIF(Rotación!I$5:I$46,Turnos!$A$9)*Turnos!$H$9+COUNTIF(Rotación!I$5:I$46,Turnos!$A$10)*Turnos!$H$10)/6</f>
        <v>37.5</v>
      </c>
      <c r="D36" s="43" t="n">
        <f aca="false">IF(B36="T1",2*24*7/6,IF(B36="T2",5*((17-8)+(24-17))/2,5*(17-8)))</f>
        <v>40</v>
      </c>
    </row>
    <row r="37" customFormat="false" ht="15" hidden="false" customHeight="false" outlineLevel="0" collapsed="false">
      <c r="A37" s="11" t="s">
        <v>879</v>
      </c>
      <c r="B37" s="11" t="str">
        <f aca="false">B13</f>
        <v>T2</v>
      </c>
      <c r="C37" s="43" t="n">
        <f aca="false">(COUNTIF(Rotación!J$5:J$46,Turnos!$A$5)*Turnos!$H$5+COUNTIF(Rotación!J$5:J$46,Turnos!$A$6)*Turnos!$H$6+COUNTIF(Rotación!J$5:J$46,Turnos!$A$7)*Turnos!$H$7+COUNTIF(Rotación!J$5:J$46,Turnos!$A$8)*Turnos!$H$8+COUNTIF(Rotación!J$5:J$46,Turnos!$A$9)*Turnos!$H$9+COUNTIF(Rotación!J$5:J$46,Turnos!$A$10)*Turnos!$H$10)/6</f>
        <v>37.5</v>
      </c>
      <c r="D37" s="43" t="n">
        <f aca="false">IF(B37="T1",2*24*7/6,IF(B37="T2",5*((17-8)+(24-17))/2,5*(17-8)))</f>
        <v>40</v>
      </c>
    </row>
    <row r="38" customFormat="false" ht="15" hidden="false" customHeight="false" outlineLevel="0" collapsed="false">
      <c r="A38" s="11" t="s">
        <v>880</v>
      </c>
      <c r="B38" s="11" t="str">
        <f aca="false">B14</f>
        <v>T2</v>
      </c>
      <c r="C38" s="43" t="n">
        <f aca="false">(COUNTIF(Rotación!K$5:K$46,Turnos!$A$5)*Turnos!$H$5+COUNTIF(Rotación!K$5:K$46,Turnos!$A$6)*Turnos!$H$6+COUNTIF(Rotación!K$5:K$46,Turnos!$A$7)*Turnos!$H$7+COUNTIF(Rotación!K$5:K$46,Turnos!$A$8)*Turnos!$H$8+COUNTIF(Rotación!K$5:K$46,Turnos!$A$9)*Turnos!$H$9+COUNTIF(Rotación!K$5:K$46,Turnos!$A$10)*Turnos!$H$10)/6</f>
        <v>37.5</v>
      </c>
      <c r="D38" s="43" t="n">
        <f aca="false">IF(B38="T1",2*24*7/6,IF(B38="T2",5*((17-8)+(24-17))/2,5*(17-8)))</f>
        <v>40</v>
      </c>
    </row>
    <row r="39" customFormat="false" ht="15" hidden="false" customHeight="false" outlineLevel="0" collapsed="false">
      <c r="A39" s="11" t="s">
        <v>882</v>
      </c>
      <c r="B39" s="11" t="str">
        <f aca="false">B15</f>
        <v>T2</v>
      </c>
      <c r="C39" s="43" t="n">
        <f aca="false">(COUNTIF(Rotación!L$5:L$46,Turnos!$A$5)*Turnos!$H$5+COUNTIF(Rotación!L$5:L$46,Turnos!$A$6)*Turnos!$H$6+COUNTIF(Rotación!L$5:L$46,Turnos!$A$7)*Turnos!$H$7+COUNTIF(Rotación!L$5:L$46,Turnos!$A$8)*Turnos!$H$8+COUNTIF(Rotación!L$5:L$46,Turnos!$A$9)*Turnos!$H$9+COUNTIF(Rotación!L$5:L$46,Turnos!$A$10)*Turnos!$H$10)/6</f>
        <v>37.5</v>
      </c>
      <c r="D39" s="43" t="n">
        <f aca="false">IF(B39="T1",2*24*7/6,IF(B39="T2",5*((17-8)+(24-17))/2,5*(17-8)))</f>
        <v>40</v>
      </c>
    </row>
    <row r="40" customFormat="false" ht="15" hidden="false" customHeight="false" outlineLevel="0" collapsed="false">
      <c r="A40" s="11" t="s">
        <v>884</v>
      </c>
      <c r="B40" s="11" t="str">
        <f aca="false">B16</f>
        <v>T3</v>
      </c>
      <c r="C40" s="43" t="n">
        <f aca="false">(COUNTIF(Rotación!M$5:M$46,Turnos!$A$5)*Turnos!$H$5+COUNTIF(Rotación!M$5:M$46,Turnos!$A$6)*Turnos!$H$6+COUNTIF(Rotación!M$5:M$46,Turnos!$A$7)*Turnos!$H$7+COUNTIF(Rotación!M$5:M$46,Turnos!$A$8)*Turnos!$H$8+COUNTIF(Rotación!M$5:M$46,Turnos!$A$9)*Turnos!$H$9+COUNTIF(Rotación!M$5:M$46,Turnos!$A$10)*Turnos!$H$10)/6</f>
        <v>40</v>
      </c>
      <c r="D40" s="43" t="n">
        <f aca="false">IF(B40="T1",2*24*7/6,IF(B40="T2",5*((17-8)+(24-17))/2,5*(17-8)))</f>
        <v>45</v>
      </c>
    </row>
    <row r="41" customFormat="false" ht="15" hidden="false" customHeight="false" outlineLevel="0" collapsed="false">
      <c r="A41" s="11" t="s">
        <v>886</v>
      </c>
      <c r="B41" s="11" t="str">
        <f aca="false">B17</f>
        <v>T3</v>
      </c>
      <c r="C41" s="43" t="n">
        <f aca="false">(COUNTIF(Rotación!N$5:N$46,Turnos!$A$5)*Turnos!$H$5+COUNTIF(Rotación!N$5:N$46,Turnos!$A$6)*Turnos!$H$6+COUNTIF(Rotación!N$5:N$46,Turnos!$A$7)*Turnos!$H$7+COUNTIF(Rotación!N$5:N$46,Turnos!$A$8)*Turnos!$H$8+COUNTIF(Rotación!N$5:N$46,Turnos!$A$9)*Turnos!$H$9+COUNTIF(Rotación!N$5:N$46,Turnos!$A$10)*Turnos!$H$10)/6</f>
        <v>40</v>
      </c>
      <c r="D41" s="43" t="n">
        <f aca="false">IF(B41="T1",2*24*7/6,IF(B41="T2",5*((17-8)+(24-17))/2,5*(17-8)))</f>
        <v>45</v>
      </c>
    </row>
    <row r="42" customFormat="false" ht="15" hidden="false" customHeight="false" outlineLevel="0" collapsed="false">
      <c r="A42" s="11" t="s">
        <v>887</v>
      </c>
      <c r="B42" s="11" t="str">
        <f aca="false">B18</f>
        <v>T3</v>
      </c>
      <c r="C42" s="43" t="n">
        <f aca="false">(COUNTIF(Rotación!O$5:O$46,Turnos!$A$5)*Turnos!$H$5+COUNTIF(Rotación!O$5:O$46,Turnos!$A$6)*Turnos!$H$6+COUNTIF(Rotación!O$5:O$46,Turnos!$A$7)*Turnos!$H$7+COUNTIF(Rotación!O$5:O$46,Turnos!$A$8)*Turnos!$H$8+COUNTIF(Rotación!O$5:O$46,Turnos!$A$9)*Turnos!$H$9+COUNTIF(Rotación!O$5:O$46,Turnos!$A$10)*Turnos!$H$10)/6</f>
        <v>40</v>
      </c>
      <c r="D42" s="43" t="n">
        <f aca="false">IF(B42="T1",2*24*7/6,IF(B42="T2",5*((17-8)+(24-17))/2,5*(17-8)))</f>
        <v>45</v>
      </c>
    </row>
    <row r="43" customFormat="false" ht="15" hidden="false" customHeight="false" outlineLevel="0" collapsed="false">
      <c r="A43" s="11" t="s">
        <v>888</v>
      </c>
      <c r="B43" s="11" t="str">
        <f aca="false">B19</f>
        <v>T3</v>
      </c>
      <c r="C43" s="43" t="n">
        <f aca="false">(COUNTIF(Rotación!P$5:P$46,Turnos!$A$5)*Turnos!$H$5+COUNTIF(Rotación!P$5:P$46,Turnos!$A$6)*Turnos!$H$6+COUNTIF(Rotación!P$5:P$46,Turnos!$A$7)*Turnos!$H$7+COUNTIF(Rotación!P$5:P$46,Turnos!$A$8)*Turnos!$H$8+COUNTIF(Rotación!P$5:P$46,Turnos!$A$9)*Turnos!$H$9+COUNTIF(Rotación!P$5:P$46,Turnos!$A$10)*Turnos!$H$10)/6</f>
        <v>40</v>
      </c>
      <c r="D43" s="43" t="n">
        <f aca="false">IF(B43="T1",2*24*7/6,IF(B43="T2",5*((17-8)+(24-17))/2,5*(17-8)))</f>
        <v>45</v>
      </c>
    </row>
    <row r="44" customFormat="false" ht="15" hidden="false" customHeight="false" outlineLevel="0" collapsed="false">
      <c r="A44" s="11" t="s">
        <v>889</v>
      </c>
      <c r="B44" s="11" t="str">
        <f aca="false">B20</f>
        <v>T3</v>
      </c>
      <c r="C44" s="43" t="n">
        <f aca="false">(COUNTIF(Rotación!Q$5:Q$46,Turnos!$A$5)*Turnos!$H$5+COUNTIF(Rotación!Q$5:Q$46,Turnos!$A$6)*Turnos!$H$6+COUNTIF(Rotación!Q$5:Q$46,Turnos!$A$7)*Turnos!$H$7+COUNTIF(Rotación!Q$5:Q$46,Turnos!$A$8)*Turnos!$H$8+COUNTIF(Rotación!Q$5:Q$46,Turnos!$A$9)*Turnos!$H$9+COUNTIF(Rotación!Q$5:Q$46,Turnos!$A$10)*Turnos!$H$10)/6</f>
        <v>40</v>
      </c>
      <c r="D44" s="43" t="n">
        <f aca="false">IF(B44="T1",2*24*7/6,IF(B44="T2",5*((17-8)+(24-17))/2,5*(17-8)))</f>
        <v>45</v>
      </c>
    </row>
    <row r="45" customFormat="false" ht="15" hidden="false" customHeight="false" outlineLevel="0" collapsed="false">
      <c r="A45" s="11" t="s">
        <v>890</v>
      </c>
      <c r="B45" s="11" t="str">
        <f aca="false">B21</f>
        <v>T3</v>
      </c>
      <c r="C45" s="43" t="n">
        <f aca="false">(COUNTIF(Rotación!R$5:R$46,Turnos!$A$5)*Turnos!$H$5+COUNTIF(Rotación!R$5:R$46,Turnos!$A$6)*Turnos!$H$6+COUNTIF(Rotación!R$5:R$46,Turnos!$A$7)*Turnos!$H$7+COUNTIF(Rotación!R$5:R$46,Turnos!$A$8)*Turnos!$H$8+COUNTIF(Rotación!R$5:R$46,Turnos!$A$9)*Turnos!$H$9+COUNTIF(Rotación!R$5:R$46,Turnos!$A$10)*Turnos!$H$10)/6</f>
        <v>40</v>
      </c>
      <c r="D45" s="43" t="n">
        <f aca="false">IF(B45="T1",2*24*7/6,IF(B45="T2",5*((17-8)+(24-17))/2,5*(17-8)))</f>
        <v>45</v>
      </c>
    </row>
    <row r="46" customFormat="false" ht="15" hidden="false" customHeight="false" outlineLevel="0" collapsed="false">
      <c r="A46" s="11" t="s">
        <v>891</v>
      </c>
      <c r="B46" s="11" t="str">
        <f aca="false">B22</f>
        <v>T3</v>
      </c>
      <c r="C46" s="43" t="n">
        <f aca="false">(COUNTIF(Rotación!S$5:S$46,Turnos!$A$5)*Turnos!$H$5+COUNTIF(Rotación!S$5:S$46,Turnos!$A$6)*Turnos!$H$6+COUNTIF(Rotación!S$5:S$46,Turnos!$A$7)*Turnos!$H$7+COUNTIF(Rotación!S$5:S$46,Turnos!$A$8)*Turnos!$H$8+COUNTIF(Rotación!S$5:S$46,Turnos!$A$9)*Turnos!$H$9+COUNTIF(Rotación!S$5:S$46,Turnos!$A$10)*Turnos!$H$10)/6</f>
        <v>40</v>
      </c>
      <c r="D46" s="43" t="n">
        <f aca="false">IF(B46="T1",2*24*7/6,IF(B46="T2",5*((17-8)+(24-17))/2,5*(17-8)))</f>
        <v>45</v>
      </c>
    </row>
    <row r="47" customFormat="false" ht="15" hidden="false" customHeight="false" outlineLevel="0" collapsed="false">
      <c r="A47" s="11" t="s">
        <v>892</v>
      </c>
      <c r="B47" s="11" t="str">
        <f aca="false">B23</f>
        <v>T3</v>
      </c>
      <c r="C47" s="43" t="n">
        <f aca="false">(COUNTIF(Rotación!T$5:T$46,Turnos!$A$5)*Turnos!$H$5+COUNTIF(Rotación!T$5:T$46,Turnos!$A$6)*Turnos!$H$6+COUNTIF(Rotación!T$5:T$46,Turnos!$A$7)*Turnos!$H$7+COUNTIF(Rotación!T$5:T$46,Turnos!$A$8)*Turnos!$H$8+COUNTIF(Rotación!T$5:T$46,Turnos!$A$9)*Turnos!$H$9+COUNTIF(Rotación!T$5:T$46,Turnos!$A$10)*Turnos!$H$10)/6</f>
        <v>40</v>
      </c>
      <c r="D47" s="43" t="n">
        <f aca="false">IF(B47="T1",2*24*7/6,IF(B47="T2",5*((17-8)+(24-17))/2,5*(17-8)))</f>
        <v>45</v>
      </c>
    </row>
    <row r="48" customFormat="false" ht="15" hidden="false" customHeight="false" outlineLevel="0" collapsed="false">
      <c r="A48" s="11" t="s">
        <v>893</v>
      </c>
      <c r="B48" s="11" t="str">
        <f aca="false">B24</f>
        <v>T3</v>
      </c>
      <c r="C48" s="43" t="n">
        <f aca="false">(COUNTIF(Rotación!U$5:U$46,Turnos!$A$5)*Turnos!$H$5+COUNTIF(Rotación!U$5:U$46,Turnos!$A$6)*Turnos!$H$6+COUNTIF(Rotación!U$5:U$46,Turnos!$A$7)*Turnos!$H$7+COUNTIF(Rotación!U$5:U$46,Turnos!$A$8)*Turnos!$H$8+COUNTIF(Rotación!U$5:U$46,Turnos!$A$9)*Turnos!$H$9+COUNTIF(Rotación!U$5:U$46,Turnos!$A$10)*Turnos!$H$10)/6</f>
        <v>40</v>
      </c>
      <c r="D48" s="43" t="n">
        <f aca="false">IF(B48="T1",2*24*7/6,IF(B48="T2",5*((17-8)+(24-17))/2,5*(17-8)))</f>
        <v>45</v>
      </c>
    </row>
    <row r="49" customFormat="false" ht="15" hidden="false" customHeight="false" outlineLevel="0" collapsed="false">
      <c r="A49" s="11" t="s">
        <v>894</v>
      </c>
      <c r="B49" s="11" t="str">
        <f aca="false">B25</f>
        <v>T3</v>
      </c>
      <c r="C49" s="43" t="n">
        <f aca="false">(COUNTIF(Rotación!V$5:V$46,Turnos!$A$5)*Turnos!$H$5+COUNTIF(Rotación!V$5:V$46,Turnos!$A$6)*Turnos!$H$6+COUNTIF(Rotación!V$5:V$46,Turnos!$A$7)*Turnos!$H$7+COUNTIF(Rotación!V$5:V$46,Turnos!$A$8)*Turnos!$H$8+COUNTIF(Rotación!V$5:V$46,Turnos!$A$9)*Turnos!$H$9+COUNTIF(Rotación!V$5:V$46,Turnos!$A$10)*Turnos!$H$10)/6</f>
        <v>40</v>
      </c>
      <c r="D49" s="43" t="n">
        <f aca="false">IF(B49="T1",2*24*7/6,IF(B49="T2",5*((17-8)+(24-17))/2,5*(17-8)))</f>
        <v>45</v>
      </c>
    </row>
    <row r="50" customFormat="false" ht="15" hidden="false" customHeight="false" outlineLevel="0" collapsed="false">
      <c r="A50" s="17" t="s">
        <v>999</v>
      </c>
    </row>
    <row r="53" customFormat="false" ht="15" hidden="false" customHeight="false" outlineLevel="0" collapsed="false">
      <c r="A53" s="5" t="s">
        <v>1000</v>
      </c>
    </row>
    <row r="54" customFormat="false" ht="35.05" hidden="false" customHeight="false" outlineLevel="0" collapsed="false">
      <c r="A54" s="10" t="s">
        <v>749</v>
      </c>
      <c r="B54" s="10" t="s">
        <v>1001</v>
      </c>
      <c r="C54" s="10" t="s">
        <v>1002</v>
      </c>
      <c r="D54" s="10" t="s">
        <v>1003</v>
      </c>
      <c r="E54" s="10" t="s">
        <v>1004</v>
      </c>
      <c r="F54" s="10" t="s">
        <v>1005</v>
      </c>
      <c r="G54" s="10" t="s">
        <v>1006</v>
      </c>
      <c r="H54" s="10" t="s">
        <v>1007</v>
      </c>
      <c r="I54" s="10" t="s">
        <v>1008</v>
      </c>
      <c r="J54" s="10" t="s">
        <v>1009</v>
      </c>
    </row>
    <row r="55" customFormat="false" ht="15" hidden="false" customHeight="false" outlineLevel="0" collapsed="false">
      <c r="A55" s="11" t="s">
        <v>1010</v>
      </c>
      <c r="B55" s="52" t="n">
        <v>0</v>
      </c>
      <c r="C55" s="52" t="n">
        <v>8</v>
      </c>
      <c r="D55" s="52" t="n">
        <v>12</v>
      </c>
      <c r="E55" s="52" t="n">
        <v>13</v>
      </c>
      <c r="F55" s="52" t="n">
        <v>14</v>
      </c>
      <c r="G55" s="52" t="n">
        <v>17</v>
      </c>
      <c r="H55" s="52" t="n">
        <v>20</v>
      </c>
    </row>
    <row r="56" customFormat="false" ht="15" hidden="false" customHeight="false" outlineLevel="0" collapsed="false">
      <c r="A56" s="11" t="s">
        <v>1011</v>
      </c>
      <c r="B56" s="52" t="n">
        <v>8</v>
      </c>
      <c r="C56" s="52" t="n">
        <v>12</v>
      </c>
      <c r="D56" s="52" t="n">
        <v>13</v>
      </c>
      <c r="E56" s="52" t="n">
        <v>14</v>
      </c>
      <c r="F56" s="52" t="n">
        <v>17</v>
      </c>
      <c r="G56" s="52" t="n">
        <v>20</v>
      </c>
      <c r="H56" s="52" t="n">
        <v>24</v>
      </c>
    </row>
    <row r="57" customFormat="false" ht="15" hidden="false" customHeight="false" outlineLevel="0" collapsed="false">
      <c r="A57" s="11" t="str">
        <f aca="false">Turnos!A5</f>
        <v>D</v>
      </c>
      <c r="B57" s="41" t="n">
        <f aca="false">IF(OR(AND(Turnos!$E$5&gt;Turnos!$D$5,B$55&gt;=Turnos!$D$5,B$56&lt;=Turnos!$E$5),AND(Turnos!$E$5&lt;Turnos!$D$5,OR(B$55&gt;=Turnos!$D$5,B$56&lt;=Turnos!$E$5))),IF(AND(Turnos!$G$5&gt;Turnos!$F$5,B$55&gt;=Turnos!$F$5,B$56&lt;=Turnos!$G$5),0,1),0)</f>
        <v>0</v>
      </c>
      <c r="C57" s="41" t="n">
        <f aca="false">IF(OR(AND(Turnos!$E$5&gt;Turnos!$D$5,C$55&gt;=Turnos!$D$5,C$56&lt;=Turnos!$E$5),AND(Turnos!$E$5&lt;Turnos!$D$5,OR(C$55&gt;=Turnos!$D$5,C$56&lt;=Turnos!$E$5))),IF(AND(Turnos!$G$5&gt;Turnos!$F$5,C$55&gt;=Turnos!$F$5,C$56&lt;=Turnos!$G$5),0,1),0)</f>
        <v>1</v>
      </c>
      <c r="D57" s="41" t="n">
        <f aca="false">IF(OR(AND(Turnos!$E$5&gt;Turnos!$D$5,D$55&gt;=Turnos!$D$5,D$56&lt;=Turnos!$E$5),AND(Turnos!$E$5&lt;Turnos!$D$5,OR(D$55&gt;=Turnos!$D$5,D$56&lt;=Turnos!$E$5))),IF(AND(Turnos!$G$5&gt;Turnos!$F$5,D$55&gt;=Turnos!$F$5,D$56&lt;=Turnos!$G$5),0,1),0)</f>
        <v>1</v>
      </c>
      <c r="E57" s="41" t="n">
        <f aca="false">IF(OR(AND(Turnos!$E$5&gt;Turnos!$D$5,E$55&gt;=Turnos!$D$5,E$56&lt;=Turnos!$E$5),AND(Turnos!$E$5&lt;Turnos!$D$5,OR(E$55&gt;=Turnos!$D$5,E$56&lt;=Turnos!$E$5))),IF(AND(Turnos!$G$5&gt;Turnos!$F$5,E$55&gt;=Turnos!$F$5,E$56&lt;=Turnos!$G$5),0,1),0)</f>
        <v>1</v>
      </c>
      <c r="F57" s="41" t="n">
        <f aca="false">IF(OR(AND(Turnos!$E$5&gt;Turnos!$D$5,F$55&gt;=Turnos!$D$5,F$56&lt;=Turnos!$E$5),AND(Turnos!$E$5&lt;Turnos!$D$5,OR(F$55&gt;=Turnos!$D$5,F$56&lt;=Turnos!$E$5))),IF(AND(Turnos!$G$5&gt;Turnos!$F$5,F$55&gt;=Turnos!$F$5,F$56&lt;=Turnos!$G$5),0,1),0)</f>
        <v>1</v>
      </c>
      <c r="G57" s="41" t="n">
        <f aca="false">IF(OR(AND(Turnos!$E$5&gt;Turnos!$D$5,G$55&gt;=Turnos!$D$5,G$56&lt;=Turnos!$E$5),AND(Turnos!$E$5&lt;Turnos!$D$5,OR(G$55&gt;=Turnos!$D$5,G$56&lt;=Turnos!$E$5))),IF(AND(Turnos!$G$5&gt;Turnos!$F$5,G$55&gt;=Turnos!$F$5,G$56&lt;=Turnos!$G$5),0,1),0)</f>
        <v>1</v>
      </c>
      <c r="H57" s="41" t="n">
        <f aca="false">IF(OR(AND(Turnos!$E$5&gt;Turnos!$D$5,H$55&gt;=Turnos!$D$5,H$56&lt;=Turnos!$E$5),AND(Turnos!$E$5&lt;Turnos!$D$5,OR(H$55&gt;=Turnos!$D$5,H$56&lt;=Turnos!$E$5))),IF(AND(Turnos!$G$5&gt;Turnos!$F$5,H$55&gt;=Turnos!$F$5,H$56&lt;=Turnos!$G$5),0,1),0)</f>
        <v>0</v>
      </c>
      <c r="I57" s="41" t="n">
        <f aca="false">COUNTIF(Rotación!$C$5:$V$5,A57)</f>
        <v>2</v>
      </c>
      <c r="J57" s="41" t="n">
        <f aca="false">COUNTIF(Rotación!$C$10:$V$10,A57)</f>
        <v>2</v>
      </c>
    </row>
    <row r="58" customFormat="false" ht="15" hidden="false" customHeight="false" outlineLevel="0" collapsed="false">
      <c r="A58" s="11" t="str">
        <f aca="false">Turnos!A6</f>
        <v>N</v>
      </c>
      <c r="B58" s="41" t="n">
        <f aca="false">IF(OR(AND(Turnos!$E$6&gt;Turnos!$D$6,B$55&gt;=Turnos!$D$6,B$56&lt;=Turnos!$E$6),AND(Turnos!$E$6&lt;Turnos!$D$6,OR(B$55&gt;=Turnos!$D$6,B$56&lt;=Turnos!$E$6))),IF(AND(Turnos!$G$6&gt;Turnos!$F$6,B$55&gt;=Turnos!$F$6,B$56&lt;=Turnos!$G$6),0,1),0)</f>
        <v>1</v>
      </c>
      <c r="C58" s="41" t="n">
        <f aca="false">IF(OR(AND(Turnos!$E$6&gt;Turnos!$D$6,C$55&gt;=Turnos!$D$6,C$56&lt;=Turnos!$E$6),AND(Turnos!$E$6&lt;Turnos!$D$6,OR(C$55&gt;=Turnos!$D$6,C$56&lt;=Turnos!$E$6))),IF(AND(Turnos!$G$6&gt;Turnos!$F$6,C$55&gt;=Turnos!$F$6,C$56&lt;=Turnos!$G$6),0,1),0)</f>
        <v>0</v>
      </c>
      <c r="D58" s="41" t="n">
        <f aca="false">IF(OR(AND(Turnos!$E$6&gt;Turnos!$D$6,D$55&gt;=Turnos!$D$6,D$56&lt;=Turnos!$E$6),AND(Turnos!$E$6&lt;Turnos!$D$6,OR(D$55&gt;=Turnos!$D$6,D$56&lt;=Turnos!$E$6))),IF(AND(Turnos!$G$6&gt;Turnos!$F$6,D$55&gt;=Turnos!$F$6,D$56&lt;=Turnos!$G$6),0,1),0)</f>
        <v>0</v>
      </c>
      <c r="E58" s="41" t="n">
        <f aca="false">IF(OR(AND(Turnos!$E$6&gt;Turnos!$D$6,E$55&gt;=Turnos!$D$6,E$56&lt;=Turnos!$E$6),AND(Turnos!$E$6&lt;Turnos!$D$6,OR(E$55&gt;=Turnos!$D$6,E$56&lt;=Turnos!$E$6))),IF(AND(Turnos!$G$6&gt;Turnos!$F$6,E$55&gt;=Turnos!$F$6,E$56&lt;=Turnos!$G$6),0,1),0)</f>
        <v>0</v>
      </c>
      <c r="F58" s="41" t="n">
        <f aca="false">IF(OR(AND(Turnos!$E$6&gt;Turnos!$D$6,F$55&gt;=Turnos!$D$6,F$56&lt;=Turnos!$E$6),AND(Turnos!$E$6&lt;Turnos!$D$6,OR(F$55&gt;=Turnos!$D$6,F$56&lt;=Turnos!$E$6))),IF(AND(Turnos!$G$6&gt;Turnos!$F$6,F$55&gt;=Turnos!$F$6,F$56&lt;=Turnos!$G$6),0,1),0)</f>
        <v>0</v>
      </c>
      <c r="G58" s="41" t="n">
        <f aca="false">IF(OR(AND(Turnos!$E$6&gt;Turnos!$D$6,G$55&gt;=Turnos!$D$6,G$56&lt;=Turnos!$E$6),AND(Turnos!$E$6&lt;Turnos!$D$6,OR(G$55&gt;=Turnos!$D$6,G$56&lt;=Turnos!$E$6))),IF(AND(Turnos!$G$6&gt;Turnos!$F$6,G$55&gt;=Turnos!$F$6,G$56&lt;=Turnos!$G$6),0,1),0)</f>
        <v>0</v>
      </c>
      <c r="H58" s="41" t="n">
        <f aca="false">IF(OR(AND(Turnos!$E$6&gt;Turnos!$D$6,H$55&gt;=Turnos!$D$6,H$56&lt;=Turnos!$E$6),AND(Turnos!$E$6&lt;Turnos!$D$6,OR(H$55&gt;=Turnos!$D$6,H$56&lt;=Turnos!$E$6))),IF(AND(Turnos!$G$6&gt;Turnos!$F$6,H$55&gt;=Turnos!$F$6,H$56&lt;=Turnos!$G$6),0,1),0)</f>
        <v>1</v>
      </c>
      <c r="I58" s="41" t="n">
        <f aca="false">COUNTIF(Rotación!$C$5:$V$5,A58)</f>
        <v>2</v>
      </c>
      <c r="J58" s="41" t="n">
        <f aca="false">COUNTIF(Rotación!$C$10:$V$10,A58)</f>
        <v>2</v>
      </c>
    </row>
    <row r="59" customFormat="false" ht="15" hidden="false" customHeight="false" outlineLevel="0" collapsed="false">
      <c r="A59" s="11" t="str">
        <f aca="false">Turnos!A7</f>
        <v>M2</v>
      </c>
      <c r="B59" s="41" t="n">
        <f aca="false">IF(OR(AND(Turnos!$E$7&gt;Turnos!$D$7,B$55&gt;=Turnos!$D$7,B$56&lt;=Turnos!$E$7),AND(Turnos!$E$7&lt;Turnos!$D$7,OR(B$55&gt;=Turnos!$D$7,B$56&lt;=Turnos!$E$7))),IF(AND(Turnos!$G$7&gt;Turnos!$F$7,B$55&gt;=Turnos!$F$7,B$56&lt;=Turnos!$G$7),0,1),0)</f>
        <v>0</v>
      </c>
      <c r="C59" s="41" t="n">
        <f aca="false">IF(OR(AND(Turnos!$E$7&gt;Turnos!$D$7,C$55&gt;=Turnos!$D$7,C$56&lt;=Turnos!$E$7),AND(Turnos!$E$7&lt;Turnos!$D$7,OR(C$55&gt;=Turnos!$D$7,C$56&lt;=Turnos!$E$7))),IF(AND(Turnos!$G$7&gt;Turnos!$F$7,C$55&gt;=Turnos!$F$7,C$56&lt;=Turnos!$G$7),0,1),0)</f>
        <v>1</v>
      </c>
      <c r="D59" s="41" t="n">
        <f aca="false">IF(OR(AND(Turnos!$E$7&gt;Turnos!$D$7,D$55&gt;=Turnos!$D$7,D$56&lt;=Turnos!$E$7),AND(Turnos!$E$7&lt;Turnos!$D$7,OR(D$55&gt;=Turnos!$D$7,D$56&lt;=Turnos!$E$7))),IF(AND(Turnos!$G$7&gt;Turnos!$F$7,D$55&gt;=Turnos!$F$7,D$56&lt;=Turnos!$G$7),0,1),0)</f>
        <v>0</v>
      </c>
      <c r="E59" s="41" t="n">
        <f aca="false">IF(OR(AND(Turnos!$E$7&gt;Turnos!$D$7,E$55&gt;=Turnos!$D$7,E$56&lt;=Turnos!$E$7),AND(Turnos!$E$7&lt;Turnos!$D$7,OR(E$55&gt;=Turnos!$D$7,E$56&lt;=Turnos!$E$7))),IF(AND(Turnos!$G$7&gt;Turnos!$F$7,E$55&gt;=Turnos!$F$7,E$56&lt;=Turnos!$G$7),0,1),0)</f>
        <v>1</v>
      </c>
      <c r="F59" s="41" t="n">
        <f aca="false">IF(OR(AND(Turnos!$E$7&gt;Turnos!$D$7,F$55&gt;=Turnos!$D$7,F$56&lt;=Turnos!$E$7),AND(Turnos!$E$7&lt;Turnos!$D$7,OR(F$55&gt;=Turnos!$D$7,F$56&lt;=Turnos!$E$7))),IF(AND(Turnos!$G$7&gt;Turnos!$F$7,F$55&gt;=Turnos!$F$7,F$56&lt;=Turnos!$G$7),0,1),0)</f>
        <v>1</v>
      </c>
      <c r="G59" s="41" t="n">
        <f aca="false">IF(OR(AND(Turnos!$E$7&gt;Turnos!$D$7,G$55&gt;=Turnos!$D$7,G$56&lt;=Turnos!$E$7),AND(Turnos!$E$7&lt;Turnos!$D$7,OR(G$55&gt;=Turnos!$D$7,G$56&lt;=Turnos!$E$7))),IF(AND(Turnos!$G$7&gt;Turnos!$F$7,G$55&gt;=Turnos!$F$7,G$56&lt;=Turnos!$G$7),0,1),0)</f>
        <v>0</v>
      </c>
      <c r="H59" s="41" t="n">
        <f aca="false">IF(OR(AND(Turnos!$E$7&gt;Turnos!$D$7,H$55&gt;=Turnos!$D$7,H$56&lt;=Turnos!$E$7),AND(Turnos!$E$7&lt;Turnos!$D$7,OR(H$55&gt;=Turnos!$D$7,H$56&lt;=Turnos!$E$7))),IF(AND(Turnos!$G$7&gt;Turnos!$F$7,H$55&gt;=Turnos!$F$7,H$56&lt;=Turnos!$G$7),0,1),0)</f>
        <v>0</v>
      </c>
      <c r="I59" s="41" t="n">
        <f aca="false">COUNTIF(Rotación!$C$5:$V$5,A59)</f>
        <v>2</v>
      </c>
      <c r="J59" s="41" t="n">
        <f aca="false">COUNTIF(Rotación!$C$10:$V$10,A59)</f>
        <v>0</v>
      </c>
    </row>
    <row r="60" customFormat="false" ht="15" hidden="false" customHeight="false" outlineLevel="0" collapsed="false">
      <c r="A60" s="11" t="str">
        <f aca="false">Turnos!A8</f>
        <v>T2</v>
      </c>
      <c r="B60" s="41" t="n">
        <f aca="false">IF(OR(AND(Turnos!$E$8&gt;Turnos!$D$8,B$55&gt;=Turnos!$D$8,B$56&lt;=Turnos!$E$8),AND(Turnos!$E$8&lt;Turnos!$D$8,OR(B$55&gt;=Turnos!$D$8,B$56&lt;=Turnos!$E$8))),IF(AND(Turnos!$G$8&gt;Turnos!$F$8,B$55&gt;=Turnos!$F$8,B$56&lt;=Turnos!$G$8),0,1),0)</f>
        <v>0</v>
      </c>
      <c r="C60" s="41" t="n">
        <f aca="false">IF(OR(AND(Turnos!$E$8&gt;Turnos!$D$8,C$55&gt;=Turnos!$D$8,C$56&lt;=Turnos!$E$8),AND(Turnos!$E$8&lt;Turnos!$D$8,OR(C$55&gt;=Turnos!$D$8,C$56&lt;=Turnos!$E$8))),IF(AND(Turnos!$G$8&gt;Turnos!$F$8,C$55&gt;=Turnos!$F$8,C$56&lt;=Turnos!$G$8),0,1),0)</f>
        <v>0</v>
      </c>
      <c r="D60" s="41" t="n">
        <f aca="false">IF(OR(AND(Turnos!$E$8&gt;Turnos!$D$8,D$55&gt;=Turnos!$D$8,D$56&lt;=Turnos!$E$8),AND(Turnos!$E$8&lt;Turnos!$D$8,OR(D$55&gt;=Turnos!$D$8,D$56&lt;=Turnos!$E$8))),IF(AND(Turnos!$G$8&gt;Turnos!$F$8,D$55&gt;=Turnos!$F$8,D$56&lt;=Turnos!$G$8),0,1),0)</f>
        <v>0</v>
      </c>
      <c r="E60" s="41" t="n">
        <f aca="false">IF(OR(AND(Turnos!$E$8&gt;Turnos!$D$8,E$55&gt;=Turnos!$D$8,E$56&lt;=Turnos!$E$8),AND(Turnos!$E$8&lt;Turnos!$D$8,OR(E$55&gt;=Turnos!$D$8,E$56&lt;=Turnos!$E$8))),IF(AND(Turnos!$G$8&gt;Turnos!$F$8,E$55&gt;=Turnos!$F$8,E$56&lt;=Turnos!$G$8),0,1),0)</f>
        <v>0</v>
      </c>
      <c r="F60" s="41" t="n">
        <f aca="false">IF(OR(AND(Turnos!$E$8&gt;Turnos!$D$8,F$55&gt;=Turnos!$D$8,F$56&lt;=Turnos!$E$8),AND(Turnos!$E$8&lt;Turnos!$D$8,OR(F$55&gt;=Turnos!$D$8,F$56&lt;=Turnos!$E$8))),IF(AND(Turnos!$G$8&gt;Turnos!$F$8,F$55&gt;=Turnos!$F$8,F$56&lt;=Turnos!$G$8),0,1),0)</f>
        <v>0</v>
      </c>
      <c r="G60" s="41" t="n">
        <f aca="false">IF(OR(AND(Turnos!$E$8&gt;Turnos!$D$8,G$55&gt;=Turnos!$D$8,G$56&lt;=Turnos!$E$8),AND(Turnos!$E$8&lt;Turnos!$D$8,OR(G$55&gt;=Turnos!$D$8,G$56&lt;=Turnos!$E$8))),IF(AND(Turnos!$G$8&gt;Turnos!$F$8,G$55&gt;=Turnos!$F$8,G$56&lt;=Turnos!$G$8),0,1),0)</f>
        <v>1</v>
      </c>
      <c r="H60" s="41" t="n">
        <f aca="false">IF(OR(AND(Turnos!$E$8&gt;Turnos!$D$8,H$55&gt;=Turnos!$D$8,H$56&lt;=Turnos!$E$8),AND(Turnos!$E$8&lt;Turnos!$D$8,OR(H$55&gt;=Turnos!$D$8,H$56&lt;=Turnos!$E$8))),IF(AND(Turnos!$G$8&gt;Turnos!$F$8,H$55&gt;=Turnos!$F$8,H$56&lt;=Turnos!$G$8),0,1),0)</f>
        <v>1</v>
      </c>
      <c r="I60" s="41" t="n">
        <f aca="false">COUNTIF(Rotación!$C$5:$V$5,A60)</f>
        <v>2</v>
      </c>
      <c r="J60" s="41" t="n">
        <f aca="false">COUNTIF(Rotación!$C$10:$V$10,A60)</f>
        <v>0</v>
      </c>
    </row>
    <row r="61" customFormat="false" ht="15" hidden="false" customHeight="false" outlineLevel="0" collapsed="false">
      <c r="A61" s="11" t="str">
        <f aca="false">Turnos!A9</f>
        <v>M3a</v>
      </c>
      <c r="B61" s="41" t="n">
        <f aca="false">IF(OR(AND(Turnos!$E$9&gt;Turnos!$D$9,B$55&gt;=Turnos!$D$9,B$56&lt;=Turnos!$E$9),AND(Turnos!$E$9&lt;Turnos!$D$9,OR(B$55&gt;=Turnos!$D$9,B$56&lt;=Turnos!$E$9))),IF(AND(Turnos!$G$9&gt;Turnos!$F$9,B$55&gt;=Turnos!$F$9,B$56&lt;=Turnos!$G$9),0,1),0)</f>
        <v>0</v>
      </c>
      <c r="C61" s="41" t="n">
        <f aca="false">IF(OR(AND(Turnos!$E$9&gt;Turnos!$D$9,C$55&gt;=Turnos!$D$9,C$56&lt;=Turnos!$E$9),AND(Turnos!$E$9&lt;Turnos!$D$9,OR(C$55&gt;=Turnos!$D$9,C$56&lt;=Turnos!$E$9))),IF(AND(Turnos!$G$9&gt;Turnos!$F$9,C$55&gt;=Turnos!$F$9,C$56&lt;=Turnos!$G$9),0,1),0)</f>
        <v>1</v>
      </c>
      <c r="D61" s="41" t="n">
        <f aca="false">IF(OR(AND(Turnos!$E$9&gt;Turnos!$D$9,D$55&gt;=Turnos!$D$9,D$56&lt;=Turnos!$E$9),AND(Turnos!$E$9&lt;Turnos!$D$9,OR(D$55&gt;=Turnos!$D$9,D$56&lt;=Turnos!$E$9))),IF(AND(Turnos!$G$9&gt;Turnos!$F$9,D$55&gt;=Turnos!$F$9,D$56&lt;=Turnos!$G$9),0,1),0)</f>
        <v>0</v>
      </c>
      <c r="E61" s="41" t="n">
        <f aca="false">IF(OR(AND(Turnos!$E$9&gt;Turnos!$D$9,E$55&gt;=Turnos!$D$9,E$56&lt;=Turnos!$E$9),AND(Turnos!$E$9&lt;Turnos!$D$9,OR(E$55&gt;=Turnos!$D$9,E$56&lt;=Turnos!$E$9))),IF(AND(Turnos!$G$9&gt;Turnos!$F$9,E$55&gt;=Turnos!$F$9,E$56&lt;=Turnos!$G$9),0,1),0)</f>
        <v>1</v>
      </c>
      <c r="F61" s="41" t="n">
        <f aca="false">IF(OR(AND(Turnos!$E$9&gt;Turnos!$D$9,F$55&gt;=Turnos!$D$9,F$56&lt;=Turnos!$E$9),AND(Turnos!$E$9&lt;Turnos!$D$9,OR(F$55&gt;=Turnos!$D$9,F$56&lt;=Turnos!$E$9))),IF(AND(Turnos!$G$9&gt;Turnos!$F$9,F$55&gt;=Turnos!$F$9,F$56&lt;=Turnos!$G$9),0,1),0)</f>
        <v>1</v>
      </c>
      <c r="G61" s="41" t="n">
        <f aca="false">IF(OR(AND(Turnos!$E$9&gt;Turnos!$D$9,G$55&gt;=Turnos!$D$9,G$56&lt;=Turnos!$E$9),AND(Turnos!$E$9&lt;Turnos!$D$9,OR(G$55&gt;=Turnos!$D$9,G$56&lt;=Turnos!$E$9))),IF(AND(Turnos!$G$9&gt;Turnos!$F$9,G$55&gt;=Turnos!$F$9,G$56&lt;=Turnos!$G$9),0,1),0)</f>
        <v>0</v>
      </c>
      <c r="H61" s="41" t="n">
        <f aca="false">IF(OR(AND(Turnos!$E$9&gt;Turnos!$D$9,H$55&gt;=Turnos!$D$9,H$56&lt;=Turnos!$E$9),AND(Turnos!$E$9&lt;Turnos!$D$9,OR(H$55&gt;=Turnos!$D$9,H$56&lt;=Turnos!$E$9))),IF(AND(Turnos!$G$9&gt;Turnos!$F$9,H$55&gt;=Turnos!$F$9,H$56&lt;=Turnos!$G$9),0,1),0)</f>
        <v>0</v>
      </c>
      <c r="I61" s="41" t="n">
        <f aca="false">COUNTIF(Rotación!$C$5:$V$5,A61)</f>
        <v>5</v>
      </c>
      <c r="J61" s="41" t="n">
        <f aca="false">COUNTIF(Rotación!$C$10:$V$10,A61)</f>
        <v>0</v>
      </c>
    </row>
    <row r="62" customFormat="false" ht="15" hidden="false" customHeight="false" outlineLevel="0" collapsed="false">
      <c r="A62" s="11" t="str">
        <f aca="false">Turnos!A10</f>
        <v>M3b</v>
      </c>
      <c r="B62" s="41" t="n">
        <f aca="false">IF(OR(AND(Turnos!$E$10&gt;Turnos!$D$10,B$55&gt;=Turnos!$D$10,B$56&lt;=Turnos!$E$10),AND(Turnos!$E$10&lt;Turnos!$D$10,OR(B$55&gt;=Turnos!$D$10,B$56&lt;=Turnos!$E$10))),IF(AND(Turnos!$G$10&gt;Turnos!$F$10,B$55&gt;=Turnos!$F$10,B$56&lt;=Turnos!$G$10),0,1),0)</f>
        <v>0</v>
      </c>
      <c r="C62" s="41" t="n">
        <f aca="false">IF(OR(AND(Turnos!$E$10&gt;Turnos!$D$10,C$55&gt;=Turnos!$D$10,C$56&lt;=Turnos!$E$10),AND(Turnos!$E$10&lt;Turnos!$D$10,OR(C$55&gt;=Turnos!$D$10,C$56&lt;=Turnos!$E$10))),IF(AND(Turnos!$G$10&gt;Turnos!$F$10,C$55&gt;=Turnos!$F$10,C$56&lt;=Turnos!$G$10),0,1),0)</f>
        <v>1</v>
      </c>
      <c r="D62" s="41" t="n">
        <f aca="false">IF(OR(AND(Turnos!$E$10&gt;Turnos!$D$10,D$55&gt;=Turnos!$D$10,D$56&lt;=Turnos!$E$10),AND(Turnos!$E$10&lt;Turnos!$D$10,OR(D$55&gt;=Turnos!$D$10,D$56&lt;=Turnos!$E$10))),IF(AND(Turnos!$G$10&gt;Turnos!$F$10,D$55&gt;=Turnos!$F$10,D$56&lt;=Turnos!$G$10),0,1),0)</f>
        <v>1</v>
      </c>
      <c r="E62" s="41" t="n">
        <f aca="false">IF(OR(AND(Turnos!$E$10&gt;Turnos!$D$10,E$55&gt;=Turnos!$D$10,E$56&lt;=Turnos!$E$10),AND(Turnos!$E$10&lt;Turnos!$D$10,OR(E$55&gt;=Turnos!$D$10,E$56&lt;=Turnos!$E$10))),IF(AND(Turnos!$G$10&gt;Turnos!$F$10,E$55&gt;=Turnos!$F$10,E$56&lt;=Turnos!$G$10),0,1),0)</f>
        <v>0</v>
      </c>
      <c r="F62" s="41" t="n">
        <f aca="false">IF(OR(AND(Turnos!$E$10&gt;Turnos!$D$10,F$55&gt;=Turnos!$D$10,F$56&lt;=Turnos!$E$10),AND(Turnos!$E$10&lt;Turnos!$D$10,OR(F$55&gt;=Turnos!$D$10,F$56&lt;=Turnos!$E$10))),IF(AND(Turnos!$G$10&gt;Turnos!$F$10,F$55&gt;=Turnos!$F$10,F$56&lt;=Turnos!$G$10),0,1),0)</f>
        <v>1</v>
      </c>
      <c r="G62" s="41" t="n">
        <f aca="false">IF(OR(AND(Turnos!$E$10&gt;Turnos!$D$10,G$55&gt;=Turnos!$D$10,G$56&lt;=Turnos!$E$10),AND(Turnos!$E$10&lt;Turnos!$D$10,OR(G$55&gt;=Turnos!$D$10,G$56&lt;=Turnos!$E$10))),IF(AND(Turnos!$G$10&gt;Turnos!$F$10,G$55&gt;=Turnos!$F$10,G$56&lt;=Turnos!$G$10),0,1),0)</f>
        <v>0</v>
      </c>
      <c r="H62" s="41" t="n">
        <f aca="false">IF(OR(AND(Turnos!$E$10&gt;Turnos!$D$10,H$55&gt;=Turnos!$D$10,H$56&lt;=Turnos!$E$10),AND(Turnos!$E$10&lt;Turnos!$D$10,OR(H$55&gt;=Turnos!$D$10,H$56&lt;=Turnos!$E$10))),IF(AND(Turnos!$G$10&gt;Turnos!$F$10,H$55&gt;=Turnos!$F$10,H$56&lt;=Turnos!$G$10),0,1),0)</f>
        <v>0</v>
      </c>
      <c r="I62" s="41" t="n">
        <f aca="false">COUNTIF(Rotación!$C$5:$V$5,A62)</f>
        <v>5</v>
      </c>
      <c r="J62" s="41" t="n">
        <f aca="false">COUNTIF(Rotación!$C$10:$V$10,A62)</f>
        <v>0</v>
      </c>
    </row>
    <row r="64" customFormat="false" ht="15" hidden="false" customHeight="false" outlineLevel="0" collapsed="false">
      <c r="A64" s="48" t="s">
        <v>1012</v>
      </c>
      <c r="B64" s="64" t="n">
        <f aca="false">SUMPRODUCT($I$57:$I$62,B57:B62)</f>
        <v>2</v>
      </c>
      <c r="C64" s="64" t="n">
        <f aca="false">SUMPRODUCT($I$57:$I$62,C57:C62)</f>
        <v>14</v>
      </c>
      <c r="D64" s="64" t="n">
        <f aca="false">SUMPRODUCT($I$57:$I$62,D57:D62)</f>
        <v>7</v>
      </c>
      <c r="E64" s="64" t="n">
        <f aca="false">SUMPRODUCT($I$57:$I$62,E57:E62)</f>
        <v>9</v>
      </c>
      <c r="F64" s="64" t="n">
        <f aca="false">SUMPRODUCT($I$57:$I$62,F57:F62)</f>
        <v>14</v>
      </c>
      <c r="G64" s="64" t="n">
        <f aca="false">SUMPRODUCT($I$57:$I$62,G57:G62)</f>
        <v>4</v>
      </c>
      <c r="H64" s="64" t="n">
        <f aca="false">SUMPRODUCT($I$57:$I$62,H57:H62)</f>
        <v>4</v>
      </c>
    </row>
    <row r="65" customFormat="false" ht="15" hidden="false" customHeight="false" outlineLevel="0" collapsed="false">
      <c r="A65" s="48" t="s">
        <v>1013</v>
      </c>
      <c r="B65" s="64" t="n">
        <f aca="false">SUMPRODUCT($J$57:$J$62,B57:B62)</f>
        <v>2</v>
      </c>
      <c r="C65" s="64" t="n">
        <f aca="false">SUMPRODUCT($J$57:$J$62,C57:C62)</f>
        <v>2</v>
      </c>
      <c r="D65" s="64" t="n">
        <f aca="false">SUMPRODUCT($J$57:$J$62,D57:D62)</f>
        <v>2</v>
      </c>
      <c r="E65" s="64" t="n">
        <f aca="false">SUMPRODUCT($J$57:$J$62,E57:E62)</f>
        <v>2</v>
      </c>
      <c r="F65" s="64" t="n">
        <f aca="false">SUMPRODUCT($J$57:$J$62,F57:F62)</f>
        <v>2</v>
      </c>
      <c r="G65" s="64" t="n">
        <f aca="false">SUMPRODUCT($J$57:$J$62,G57:G62)</f>
        <v>2</v>
      </c>
      <c r="H65" s="64" t="n">
        <f aca="false">SUMPRODUCT($J$57:$J$62,H57:H62)</f>
        <v>2</v>
      </c>
    </row>
    <row r="66" customFormat="false" ht="23.85" hidden="false" customHeight="false" outlineLevel="0" collapsed="false">
      <c r="A66" s="48" t="s">
        <v>1014</v>
      </c>
      <c r="B66" s="64" t="n">
        <f aca="false">(5*B64+2*B65)*(B56-B55)+(5*C64+2*C65)*(C56-C55)+(5*D64+2*D65)*(D56-D55)+(5*E64+2*E65)*(E56-E55)+(5*F64+2*F65)*(F56-F55)+(5*G64+2*G65)*(G56-G55)+(5*H64+2*H65)*(H56-H55)</f>
        <v>886</v>
      </c>
    </row>
    <row r="68" customFormat="false" ht="15" hidden="false" customHeight="false" outlineLevel="0" collapsed="false">
      <c r="A68" s="5" t="s">
        <v>1015</v>
      </c>
    </row>
    <row r="69" customFormat="false" ht="23.85" hidden="false" customHeight="false" outlineLevel="0" collapsed="false">
      <c r="A69" s="11" t="s">
        <v>1016</v>
      </c>
      <c r="B69" s="42" t="n">
        <f aca="false">Supuestos!$D$6</f>
        <v>0.05</v>
      </c>
    </row>
    <row r="70" customFormat="false" ht="15" hidden="false" customHeight="false" outlineLevel="0" collapsed="false">
      <c r="A70" s="11" t="s">
        <v>1017</v>
      </c>
      <c r="B70" s="45" t="n">
        <v>8</v>
      </c>
    </row>
    <row r="71" customFormat="false" ht="15" hidden="false" customHeight="false" outlineLevel="0" collapsed="false">
      <c r="A71" s="11" t="s">
        <v>1018</v>
      </c>
      <c r="B71" s="45" t="n">
        <v>48</v>
      </c>
    </row>
    <row r="72" customFormat="false" ht="15" hidden="false" customHeight="false" outlineLevel="0" collapsed="false">
      <c r="A72" s="11" t="s">
        <v>1019</v>
      </c>
      <c r="B72" s="45" t="n">
        <v>168</v>
      </c>
    </row>
    <row r="73" customFormat="false" ht="15" hidden="false" customHeight="false" outlineLevel="0" collapsed="false">
      <c r="A73" s="11" t="s">
        <v>1020</v>
      </c>
      <c r="B73" s="43" t="n">
        <f aca="false">(B70+B71+B72)/3</f>
        <v>74.6666666666667</v>
      </c>
    </row>
    <row r="74" customFormat="false" ht="15" hidden="false" customHeight="false" outlineLevel="0" collapsed="false">
      <c r="A74" s="11" t="s">
        <v>1021</v>
      </c>
      <c r="B74" s="41" t="n">
        <f aca="false">IFERROR(B73*(1-B69)/B69,"sin fallas")</f>
        <v>1418.66666666667</v>
      </c>
    </row>
    <row r="75" customFormat="false" ht="15" hidden="false" customHeight="false" outlineLevel="0" collapsed="false">
      <c r="A75" s="11" t="s">
        <v>1022</v>
      </c>
      <c r="B75" s="43" t="n">
        <f aca="false">IFERROR(24*Demanda!$B$14/(B74+B73),0)</f>
        <v>5.86607142857143</v>
      </c>
    </row>
    <row r="76" customFormat="false" ht="15" hidden="false" customHeight="false" outlineLevel="0" collapsed="false">
      <c r="A76" s="11" t="s">
        <v>1023</v>
      </c>
      <c r="B76" s="41" t="n">
        <f aca="false">B75*SUM(Equipos!D5:D14)</f>
        <v>410.625</v>
      </c>
    </row>
    <row r="79" customFormat="false" ht="15" hidden="false" customHeight="false" outlineLevel="0" collapsed="false">
      <c r="A79" s="5" t="s">
        <v>1024</v>
      </c>
    </row>
    <row r="80" customFormat="false" ht="23.85" hidden="false" customHeight="false" outlineLevel="0" collapsed="false">
      <c r="A80" s="11" t="s">
        <v>1025</v>
      </c>
      <c r="B80" s="41" t="n">
        <f aca="false">COUNTIF(H91:H132,"OK")</f>
        <v>42</v>
      </c>
      <c r="C80" s="11" t="str">
        <f aca="false">IF(B80=42,"OK","Revisar: hay días sin 2 analistas de día y 2 de noche")</f>
        <v>OK</v>
      </c>
      <c r="D80" s="11"/>
      <c r="E80" s="11"/>
      <c r="F80" s="11"/>
      <c r="G80" s="11"/>
      <c r="H80" s="11"/>
      <c r="I80" s="11"/>
      <c r="J80" s="11"/>
    </row>
    <row r="81" customFormat="false" ht="23.85" hidden="false" customHeight="false" outlineLevel="0" collapsed="false">
      <c r="A81" s="11" t="s">
        <v>1026</v>
      </c>
      <c r="B81" s="43" t="n">
        <f aca="false">AVERAGEIF(B30:B49,"T1",C30:C49)</f>
        <v>56</v>
      </c>
      <c r="C81" s="11" t="str">
        <f aca="false">IF(ABS(B81-56)&lt;0.01,"OK: igual a la Tabla 1 (56 h)","Revisar")</f>
        <v>OK: igual a la Tabla 1 (56 h)</v>
      </c>
      <c r="D81" s="11"/>
      <c r="E81" s="11"/>
      <c r="F81" s="11"/>
      <c r="G81" s="11"/>
      <c r="H81" s="11"/>
      <c r="I81" s="11"/>
      <c r="J81" s="11"/>
    </row>
    <row r="82" customFormat="false" ht="23.85" hidden="false" customHeight="false" outlineLevel="0" collapsed="false">
      <c r="A82" s="11" t="s">
        <v>1027</v>
      </c>
      <c r="B82" s="41" t="n">
        <f aca="false">SUM(C30:C49)</f>
        <v>886</v>
      </c>
      <c r="C82" s="11" t="str">
        <f aca="false">IF(ABS(B82-B66)&lt;0.01,"OK: coincide con la suma por franjas","Revisar")</f>
        <v>OK: coincide con la suma por franjas</v>
      </c>
      <c r="D82" s="11"/>
      <c r="E82" s="11"/>
      <c r="F82" s="11"/>
      <c r="G82" s="11"/>
      <c r="H82" s="11"/>
      <c r="I82" s="11"/>
      <c r="J82" s="11"/>
    </row>
    <row r="83" customFormat="false" ht="23.85" hidden="false" customHeight="false" outlineLevel="0" collapsed="false">
      <c r="A83" s="11" t="s">
        <v>1028</v>
      </c>
      <c r="B83" s="41" t="n">
        <f aca="false">SUM(D30:D49)</f>
        <v>946</v>
      </c>
      <c r="C83" s="11" t="str">
        <f aca="false">"Costigliola et al. (2017, Tabla 1, p. 9015)"</f>
        <v>Costigliola et al. (2017, Tabla 1, p. 9015)</v>
      </c>
      <c r="D83" s="11"/>
      <c r="E83" s="11"/>
      <c r="F83" s="11"/>
      <c r="G83" s="11"/>
      <c r="H83" s="11"/>
      <c r="I83" s="11"/>
      <c r="J83" s="11"/>
    </row>
    <row r="84" customFormat="false" ht="23.85" hidden="false" customHeight="false" outlineLevel="0" collapsed="false">
      <c r="A84" s="11" t="s">
        <v>1029</v>
      </c>
      <c r="B84" s="44" t="n">
        <f aca="false">MAX(Mantenimiento!I5:I14)</f>
        <v>0.00159817351598174</v>
      </c>
      <c r="C84" s="11" t="str">
        <f aca="false">""</f>
        <v/>
      </c>
      <c r="D84" s="11"/>
      <c r="E84" s="11"/>
      <c r="F84" s="11"/>
      <c r="G84" s="11"/>
      <c r="H84" s="11"/>
      <c r="I84" s="11"/>
      <c r="J84" s="11"/>
    </row>
    <row r="85" customFormat="false" ht="23.85" hidden="false" customHeight="false" outlineLevel="0" collapsed="false">
      <c r="A85" s="11" t="s">
        <v>1030</v>
      </c>
      <c r="B85" s="42" t="n">
        <f aca="false">MIN(Mantenimiento!L5:L14)</f>
        <v>0.948401826484018</v>
      </c>
      <c r="C85" s="11" t="str">
        <f aca="false">""</f>
        <v/>
      </c>
      <c r="D85" s="11"/>
      <c r="E85" s="11"/>
      <c r="F85" s="11"/>
      <c r="G85" s="11"/>
      <c r="H85" s="11"/>
      <c r="I85" s="11"/>
      <c r="J85" s="11"/>
    </row>
    <row r="86" customFormat="false" ht="23.85" hidden="false" customHeight="false" outlineLevel="0" collapsed="false">
      <c r="A86" s="11" t="s">
        <v>1031</v>
      </c>
      <c r="B86" s="41" t="n">
        <f aca="false">COUNTIF(Mantenimiento!J5:J14,0)</f>
        <v>0</v>
      </c>
      <c r="C86" s="11" t="str">
        <f aca="false">IF(B86=0,"OK","Revisar: no caben las ventanas sin coincidir")</f>
        <v>OK</v>
      </c>
      <c r="D86" s="11"/>
      <c r="E86" s="11"/>
      <c r="F86" s="11"/>
      <c r="G86" s="11"/>
      <c r="H86" s="11"/>
      <c r="I86" s="11"/>
      <c r="J86" s="11"/>
    </row>
    <row r="89" customFormat="false" ht="15" hidden="false" customHeight="false" outlineLevel="0" collapsed="false">
      <c r="A89" s="5" t="s">
        <v>1032</v>
      </c>
    </row>
    <row r="90" customFormat="false" ht="23.85" hidden="false" customHeight="false" outlineLevel="0" collapsed="false">
      <c r="A90" s="10" t="s">
        <v>974</v>
      </c>
      <c r="B90" s="10" t="s">
        <v>975</v>
      </c>
      <c r="C90" s="10" t="s">
        <v>954</v>
      </c>
      <c r="D90" s="10" t="s">
        <v>958</v>
      </c>
      <c r="E90" s="10" t="s">
        <v>960</v>
      </c>
      <c r="F90" s="10" t="s">
        <v>877</v>
      </c>
      <c r="G90" s="10" t="s">
        <v>1033</v>
      </c>
      <c r="H90" s="10" t="s">
        <v>720</v>
      </c>
    </row>
    <row r="91" customFormat="false" ht="15" hidden="false" customHeight="false" outlineLevel="0" collapsed="false">
      <c r="A91" s="41" t="n">
        <v>1</v>
      </c>
      <c r="B91" s="11" t="str">
        <f aca="false">Rotación!B5</f>
        <v>lunes</v>
      </c>
      <c r="C91" s="41" t="n">
        <f aca="false">COUNTIF(Rotación!$C$5:$V$5,"D")</f>
        <v>2</v>
      </c>
      <c r="D91" s="41" t="n">
        <f aca="false">COUNTIF(Rotación!$C$5:$V$5,"N")</f>
        <v>2</v>
      </c>
      <c r="E91" s="41" t="n">
        <f aca="false">COUNTIF(Rotación!$C$5:$V$5,"M2")</f>
        <v>2</v>
      </c>
      <c r="F91" s="41" t="n">
        <f aca="false">COUNTIF(Rotación!$C$5:$V$5,"T2")</f>
        <v>2</v>
      </c>
      <c r="G91" s="41" t="n">
        <f aca="false">COUNTIF(Rotación!$C$5:$V$5,"M3a")+COUNTIF(Rotación!$C$5:$V$5,"M3b")</f>
        <v>10</v>
      </c>
      <c r="H91" s="11" t="str">
        <f aca="false">IF(AND(C91=2,D91=2,IF(MOD(A91-1,7)+1&lt;=5,AND(E91=2,F91=2,G91=10),AND(E91=0,F91=0,G91=0))),"OK","Revisar")</f>
        <v>OK</v>
      </c>
    </row>
    <row r="92" customFormat="false" ht="15" hidden="false" customHeight="false" outlineLevel="0" collapsed="false">
      <c r="A92" s="41" t="n">
        <v>2</v>
      </c>
      <c r="B92" s="11" t="str">
        <f aca="false">Rotación!B6</f>
        <v>martes</v>
      </c>
      <c r="C92" s="41" t="n">
        <f aca="false">COUNTIF(Rotación!$C$6:$V$6,"D")</f>
        <v>2</v>
      </c>
      <c r="D92" s="41" t="n">
        <f aca="false">COUNTIF(Rotación!$C$6:$V$6,"N")</f>
        <v>2</v>
      </c>
      <c r="E92" s="41" t="n">
        <f aca="false">COUNTIF(Rotación!$C$6:$V$6,"M2")</f>
        <v>2</v>
      </c>
      <c r="F92" s="41" t="n">
        <f aca="false">COUNTIF(Rotación!$C$6:$V$6,"T2")</f>
        <v>2</v>
      </c>
      <c r="G92" s="41" t="n">
        <f aca="false">COUNTIF(Rotación!$C$6:$V$6,"M3a")+COUNTIF(Rotación!$C$6:$V$6,"M3b")</f>
        <v>10</v>
      </c>
      <c r="H92" s="11" t="str">
        <f aca="false">IF(AND(C92=2,D92=2,IF(MOD(A92-1,7)+1&lt;=5,AND(E92=2,F92=2,G92=10),AND(E92=0,F92=0,G92=0))),"OK","Revisar")</f>
        <v>OK</v>
      </c>
    </row>
    <row r="93" customFormat="false" ht="15" hidden="false" customHeight="false" outlineLevel="0" collapsed="false">
      <c r="A93" s="41" t="n">
        <v>3</v>
      </c>
      <c r="B93" s="11" t="str">
        <f aca="false">Rotación!B7</f>
        <v>miércoles</v>
      </c>
      <c r="C93" s="41" t="n">
        <f aca="false">COUNTIF(Rotación!$C$7:$V$7,"D")</f>
        <v>2</v>
      </c>
      <c r="D93" s="41" t="n">
        <f aca="false">COUNTIF(Rotación!$C$7:$V$7,"N")</f>
        <v>2</v>
      </c>
      <c r="E93" s="41" t="n">
        <f aca="false">COUNTIF(Rotación!$C$7:$V$7,"M2")</f>
        <v>2</v>
      </c>
      <c r="F93" s="41" t="n">
        <f aca="false">COUNTIF(Rotación!$C$7:$V$7,"T2")</f>
        <v>2</v>
      </c>
      <c r="G93" s="41" t="n">
        <f aca="false">COUNTIF(Rotación!$C$7:$V$7,"M3a")+COUNTIF(Rotación!$C$7:$V$7,"M3b")</f>
        <v>10</v>
      </c>
      <c r="H93" s="11" t="str">
        <f aca="false">IF(AND(C93=2,D93=2,IF(MOD(A93-1,7)+1&lt;=5,AND(E93=2,F93=2,G93=10),AND(E93=0,F93=0,G93=0))),"OK","Revisar")</f>
        <v>OK</v>
      </c>
    </row>
    <row r="94" customFormat="false" ht="15" hidden="false" customHeight="false" outlineLevel="0" collapsed="false">
      <c r="A94" s="41" t="n">
        <v>4</v>
      </c>
      <c r="B94" s="11" t="str">
        <f aca="false">Rotación!B8</f>
        <v>jueves</v>
      </c>
      <c r="C94" s="41" t="n">
        <f aca="false">COUNTIF(Rotación!$C$8:$V$8,"D")</f>
        <v>2</v>
      </c>
      <c r="D94" s="41" t="n">
        <f aca="false">COUNTIF(Rotación!$C$8:$V$8,"N")</f>
        <v>2</v>
      </c>
      <c r="E94" s="41" t="n">
        <f aca="false">COUNTIF(Rotación!$C$8:$V$8,"M2")</f>
        <v>2</v>
      </c>
      <c r="F94" s="41" t="n">
        <f aca="false">COUNTIF(Rotación!$C$8:$V$8,"T2")</f>
        <v>2</v>
      </c>
      <c r="G94" s="41" t="n">
        <f aca="false">COUNTIF(Rotación!$C$8:$V$8,"M3a")+COUNTIF(Rotación!$C$8:$V$8,"M3b")</f>
        <v>10</v>
      </c>
      <c r="H94" s="11" t="str">
        <f aca="false">IF(AND(C94=2,D94=2,IF(MOD(A94-1,7)+1&lt;=5,AND(E94=2,F94=2,G94=10),AND(E94=0,F94=0,G94=0))),"OK","Revisar")</f>
        <v>OK</v>
      </c>
    </row>
    <row r="95" customFormat="false" ht="15" hidden="false" customHeight="false" outlineLevel="0" collapsed="false">
      <c r="A95" s="41" t="n">
        <v>5</v>
      </c>
      <c r="B95" s="11" t="str">
        <f aca="false">Rotación!B9</f>
        <v>viernes</v>
      </c>
      <c r="C95" s="41" t="n">
        <f aca="false">COUNTIF(Rotación!$C$9:$V$9,"D")</f>
        <v>2</v>
      </c>
      <c r="D95" s="41" t="n">
        <f aca="false">COUNTIF(Rotación!$C$9:$V$9,"N")</f>
        <v>2</v>
      </c>
      <c r="E95" s="41" t="n">
        <f aca="false">COUNTIF(Rotación!$C$9:$V$9,"M2")</f>
        <v>2</v>
      </c>
      <c r="F95" s="41" t="n">
        <f aca="false">COUNTIF(Rotación!$C$9:$V$9,"T2")</f>
        <v>2</v>
      </c>
      <c r="G95" s="41" t="n">
        <f aca="false">COUNTIF(Rotación!$C$9:$V$9,"M3a")+COUNTIF(Rotación!$C$9:$V$9,"M3b")</f>
        <v>10</v>
      </c>
      <c r="H95" s="11" t="str">
        <f aca="false">IF(AND(C95=2,D95=2,IF(MOD(A95-1,7)+1&lt;=5,AND(E95=2,F95=2,G95=10),AND(E95=0,F95=0,G95=0))),"OK","Revisar")</f>
        <v>OK</v>
      </c>
    </row>
    <row r="96" customFormat="false" ht="15" hidden="false" customHeight="false" outlineLevel="0" collapsed="false">
      <c r="A96" s="41" t="n">
        <v>6</v>
      </c>
      <c r="B96" s="11" t="str">
        <f aca="false">Rotación!B10</f>
        <v>sábado</v>
      </c>
      <c r="C96" s="41" t="n">
        <f aca="false">COUNTIF(Rotación!$C$10:$V$10,"D")</f>
        <v>2</v>
      </c>
      <c r="D96" s="41" t="n">
        <f aca="false">COUNTIF(Rotación!$C$10:$V$10,"N")</f>
        <v>2</v>
      </c>
      <c r="E96" s="41" t="n">
        <f aca="false">COUNTIF(Rotación!$C$10:$V$10,"M2")</f>
        <v>0</v>
      </c>
      <c r="F96" s="41" t="n">
        <f aca="false">COUNTIF(Rotación!$C$10:$V$10,"T2")</f>
        <v>0</v>
      </c>
      <c r="G96" s="41" t="n">
        <f aca="false">COUNTIF(Rotación!$C$10:$V$10,"M3a")+COUNTIF(Rotación!$C$10:$V$10,"M3b")</f>
        <v>0</v>
      </c>
      <c r="H96" s="11" t="str">
        <f aca="false">IF(AND(C96=2,D96=2,IF(MOD(A96-1,7)+1&lt;=5,AND(E96=2,F96=2,G96=10),AND(E96=0,F96=0,G96=0))),"OK","Revisar")</f>
        <v>OK</v>
      </c>
    </row>
    <row r="97" customFormat="false" ht="15" hidden="false" customHeight="false" outlineLevel="0" collapsed="false">
      <c r="A97" s="41" t="n">
        <v>7</v>
      </c>
      <c r="B97" s="11" t="str">
        <f aca="false">Rotación!B11</f>
        <v>domingo</v>
      </c>
      <c r="C97" s="41" t="n">
        <f aca="false">COUNTIF(Rotación!$C$11:$V$11,"D")</f>
        <v>2</v>
      </c>
      <c r="D97" s="41" t="n">
        <f aca="false">COUNTIF(Rotación!$C$11:$V$11,"N")</f>
        <v>2</v>
      </c>
      <c r="E97" s="41" t="n">
        <f aca="false">COUNTIF(Rotación!$C$11:$V$11,"M2")</f>
        <v>0</v>
      </c>
      <c r="F97" s="41" t="n">
        <f aca="false">COUNTIF(Rotación!$C$11:$V$11,"T2")</f>
        <v>0</v>
      </c>
      <c r="G97" s="41" t="n">
        <f aca="false">COUNTIF(Rotación!$C$11:$V$11,"M3a")+COUNTIF(Rotación!$C$11:$V$11,"M3b")</f>
        <v>0</v>
      </c>
      <c r="H97" s="11" t="str">
        <f aca="false">IF(AND(C97=2,D97=2,IF(MOD(A97-1,7)+1&lt;=5,AND(E97=2,F97=2,G97=10),AND(E97=0,F97=0,G97=0))),"OK","Revisar")</f>
        <v>OK</v>
      </c>
    </row>
    <row r="98" customFormat="false" ht="15" hidden="false" customHeight="false" outlineLevel="0" collapsed="false">
      <c r="A98" s="41" t="n">
        <v>8</v>
      </c>
      <c r="B98" s="11" t="str">
        <f aca="false">Rotación!B12</f>
        <v>lunes</v>
      </c>
      <c r="C98" s="41" t="n">
        <f aca="false">COUNTIF(Rotación!$C$12:$V$12,"D")</f>
        <v>2</v>
      </c>
      <c r="D98" s="41" t="n">
        <f aca="false">COUNTIF(Rotación!$C$12:$V$12,"N")</f>
        <v>2</v>
      </c>
      <c r="E98" s="41" t="n">
        <f aca="false">COUNTIF(Rotación!$C$12:$V$12,"M2")</f>
        <v>2</v>
      </c>
      <c r="F98" s="41" t="n">
        <f aca="false">COUNTIF(Rotación!$C$12:$V$12,"T2")</f>
        <v>2</v>
      </c>
      <c r="G98" s="41" t="n">
        <f aca="false">COUNTIF(Rotación!$C$12:$V$12,"M3a")+COUNTIF(Rotación!$C$12:$V$12,"M3b")</f>
        <v>10</v>
      </c>
      <c r="H98" s="11" t="str">
        <f aca="false">IF(AND(C98=2,D98=2,IF(MOD(A98-1,7)+1&lt;=5,AND(E98=2,F98=2,G98=10),AND(E98=0,F98=0,G98=0))),"OK","Revisar")</f>
        <v>OK</v>
      </c>
    </row>
    <row r="99" customFormat="false" ht="15" hidden="false" customHeight="false" outlineLevel="0" collapsed="false">
      <c r="A99" s="41" t="n">
        <v>9</v>
      </c>
      <c r="B99" s="11" t="str">
        <f aca="false">Rotación!B13</f>
        <v>martes</v>
      </c>
      <c r="C99" s="41" t="n">
        <f aca="false">COUNTIF(Rotación!$C$13:$V$13,"D")</f>
        <v>2</v>
      </c>
      <c r="D99" s="41" t="n">
        <f aca="false">COUNTIF(Rotación!$C$13:$V$13,"N")</f>
        <v>2</v>
      </c>
      <c r="E99" s="41" t="n">
        <f aca="false">COUNTIF(Rotación!$C$13:$V$13,"M2")</f>
        <v>2</v>
      </c>
      <c r="F99" s="41" t="n">
        <f aca="false">COUNTIF(Rotación!$C$13:$V$13,"T2")</f>
        <v>2</v>
      </c>
      <c r="G99" s="41" t="n">
        <f aca="false">COUNTIF(Rotación!$C$13:$V$13,"M3a")+COUNTIF(Rotación!$C$13:$V$13,"M3b")</f>
        <v>10</v>
      </c>
      <c r="H99" s="11" t="str">
        <f aca="false">IF(AND(C99=2,D99=2,IF(MOD(A99-1,7)+1&lt;=5,AND(E99=2,F99=2,G99=10),AND(E99=0,F99=0,G99=0))),"OK","Revisar")</f>
        <v>OK</v>
      </c>
    </row>
    <row r="100" customFormat="false" ht="15" hidden="false" customHeight="false" outlineLevel="0" collapsed="false">
      <c r="A100" s="41" t="n">
        <v>10</v>
      </c>
      <c r="B100" s="11" t="str">
        <f aca="false">Rotación!B14</f>
        <v>miércoles</v>
      </c>
      <c r="C100" s="41" t="n">
        <f aca="false">COUNTIF(Rotación!$C$14:$V$14,"D")</f>
        <v>2</v>
      </c>
      <c r="D100" s="41" t="n">
        <f aca="false">COUNTIF(Rotación!$C$14:$V$14,"N")</f>
        <v>2</v>
      </c>
      <c r="E100" s="41" t="n">
        <f aca="false">COUNTIF(Rotación!$C$14:$V$14,"M2")</f>
        <v>2</v>
      </c>
      <c r="F100" s="41" t="n">
        <f aca="false">COUNTIF(Rotación!$C$14:$V$14,"T2")</f>
        <v>2</v>
      </c>
      <c r="G100" s="41" t="n">
        <f aca="false">COUNTIF(Rotación!$C$14:$V$14,"M3a")+COUNTIF(Rotación!$C$14:$V$14,"M3b")</f>
        <v>10</v>
      </c>
      <c r="H100" s="11" t="str">
        <f aca="false">IF(AND(C100=2,D100=2,IF(MOD(A100-1,7)+1&lt;=5,AND(E100=2,F100=2,G100=10),AND(E100=0,F100=0,G100=0))),"OK","Revisar")</f>
        <v>OK</v>
      </c>
    </row>
    <row r="101" customFormat="false" ht="15" hidden="false" customHeight="false" outlineLevel="0" collapsed="false">
      <c r="A101" s="41" t="n">
        <v>11</v>
      </c>
      <c r="B101" s="11" t="str">
        <f aca="false">Rotación!B15</f>
        <v>jueves</v>
      </c>
      <c r="C101" s="41" t="n">
        <f aca="false">COUNTIF(Rotación!$C$15:$V$15,"D")</f>
        <v>2</v>
      </c>
      <c r="D101" s="41" t="n">
        <f aca="false">COUNTIF(Rotación!$C$15:$V$15,"N")</f>
        <v>2</v>
      </c>
      <c r="E101" s="41" t="n">
        <f aca="false">COUNTIF(Rotación!$C$15:$V$15,"M2")</f>
        <v>2</v>
      </c>
      <c r="F101" s="41" t="n">
        <f aca="false">COUNTIF(Rotación!$C$15:$V$15,"T2")</f>
        <v>2</v>
      </c>
      <c r="G101" s="41" t="n">
        <f aca="false">COUNTIF(Rotación!$C$15:$V$15,"M3a")+COUNTIF(Rotación!$C$15:$V$15,"M3b")</f>
        <v>10</v>
      </c>
      <c r="H101" s="11" t="str">
        <f aca="false">IF(AND(C101=2,D101=2,IF(MOD(A101-1,7)+1&lt;=5,AND(E101=2,F101=2,G101=10),AND(E101=0,F101=0,G101=0))),"OK","Revisar")</f>
        <v>OK</v>
      </c>
    </row>
    <row r="102" customFormat="false" ht="15" hidden="false" customHeight="false" outlineLevel="0" collapsed="false">
      <c r="A102" s="41" t="n">
        <v>12</v>
      </c>
      <c r="B102" s="11" t="str">
        <f aca="false">Rotación!B16</f>
        <v>viernes</v>
      </c>
      <c r="C102" s="41" t="n">
        <f aca="false">COUNTIF(Rotación!$C$16:$V$16,"D")</f>
        <v>2</v>
      </c>
      <c r="D102" s="41" t="n">
        <f aca="false">COUNTIF(Rotación!$C$16:$V$16,"N")</f>
        <v>2</v>
      </c>
      <c r="E102" s="41" t="n">
        <f aca="false">COUNTIF(Rotación!$C$16:$V$16,"M2")</f>
        <v>2</v>
      </c>
      <c r="F102" s="41" t="n">
        <f aca="false">COUNTIF(Rotación!$C$16:$V$16,"T2")</f>
        <v>2</v>
      </c>
      <c r="G102" s="41" t="n">
        <f aca="false">COUNTIF(Rotación!$C$16:$V$16,"M3a")+COUNTIF(Rotación!$C$16:$V$16,"M3b")</f>
        <v>10</v>
      </c>
      <c r="H102" s="11" t="str">
        <f aca="false">IF(AND(C102=2,D102=2,IF(MOD(A102-1,7)+1&lt;=5,AND(E102=2,F102=2,G102=10),AND(E102=0,F102=0,G102=0))),"OK","Revisar")</f>
        <v>OK</v>
      </c>
    </row>
    <row r="103" customFormat="false" ht="15" hidden="false" customHeight="false" outlineLevel="0" collapsed="false">
      <c r="A103" s="41" t="n">
        <v>13</v>
      </c>
      <c r="B103" s="11" t="str">
        <f aca="false">Rotación!B17</f>
        <v>sábado</v>
      </c>
      <c r="C103" s="41" t="n">
        <f aca="false">COUNTIF(Rotación!$C$17:$V$17,"D")</f>
        <v>2</v>
      </c>
      <c r="D103" s="41" t="n">
        <f aca="false">COUNTIF(Rotación!$C$17:$V$17,"N")</f>
        <v>2</v>
      </c>
      <c r="E103" s="41" t="n">
        <f aca="false">COUNTIF(Rotación!$C$17:$V$17,"M2")</f>
        <v>0</v>
      </c>
      <c r="F103" s="41" t="n">
        <f aca="false">COUNTIF(Rotación!$C$17:$V$17,"T2")</f>
        <v>0</v>
      </c>
      <c r="G103" s="41" t="n">
        <f aca="false">COUNTIF(Rotación!$C$17:$V$17,"M3a")+COUNTIF(Rotación!$C$17:$V$17,"M3b")</f>
        <v>0</v>
      </c>
      <c r="H103" s="11" t="str">
        <f aca="false">IF(AND(C103=2,D103=2,IF(MOD(A103-1,7)+1&lt;=5,AND(E103=2,F103=2,G103=10),AND(E103=0,F103=0,G103=0))),"OK","Revisar")</f>
        <v>OK</v>
      </c>
    </row>
    <row r="104" customFormat="false" ht="15" hidden="false" customHeight="false" outlineLevel="0" collapsed="false">
      <c r="A104" s="41" t="n">
        <v>14</v>
      </c>
      <c r="B104" s="11" t="str">
        <f aca="false">Rotación!B18</f>
        <v>domingo</v>
      </c>
      <c r="C104" s="41" t="n">
        <f aca="false">COUNTIF(Rotación!$C$18:$V$18,"D")</f>
        <v>2</v>
      </c>
      <c r="D104" s="41" t="n">
        <f aca="false">COUNTIF(Rotación!$C$18:$V$18,"N")</f>
        <v>2</v>
      </c>
      <c r="E104" s="41" t="n">
        <f aca="false">COUNTIF(Rotación!$C$18:$V$18,"M2")</f>
        <v>0</v>
      </c>
      <c r="F104" s="41" t="n">
        <f aca="false">COUNTIF(Rotación!$C$18:$V$18,"T2")</f>
        <v>0</v>
      </c>
      <c r="G104" s="41" t="n">
        <f aca="false">COUNTIF(Rotación!$C$18:$V$18,"M3a")+COUNTIF(Rotación!$C$18:$V$18,"M3b")</f>
        <v>0</v>
      </c>
      <c r="H104" s="11" t="str">
        <f aca="false">IF(AND(C104=2,D104=2,IF(MOD(A104-1,7)+1&lt;=5,AND(E104=2,F104=2,G104=10),AND(E104=0,F104=0,G104=0))),"OK","Revisar")</f>
        <v>OK</v>
      </c>
    </row>
    <row r="105" customFormat="false" ht="15" hidden="false" customHeight="false" outlineLevel="0" collapsed="false">
      <c r="A105" s="41" t="n">
        <v>15</v>
      </c>
      <c r="B105" s="11" t="str">
        <f aca="false">Rotación!B19</f>
        <v>lunes</v>
      </c>
      <c r="C105" s="41" t="n">
        <f aca="false">COUNTIF(Rotación!$C$19:$V$19,"D")</f>
        <v>2</v>
      </c>
      <c r="D105" s="41" t="n">
        <f aca="false">COUNTIF(Rotación!$C$19:$V$19,"N")</f>
        <v>2</v>
      </c>
      <c r="E105" s="41" t="n">
        <f aca="false">COUNTIF(Rotación!$C$19:$V$19,"M2")</f>
        <v>2</v>
      </c>
      <c r="F105" s="41" t="n">
        <f aca="false">COUNTIF(Rotación!$C$19:$V$19,"T2")</f>
        <v>2</v>
      </c>
      <c r="G105" s="41" t="n">
        <f aca="false">COUNTIF(Rotación!$C$19:$V$19,"M3a")+COUNTIF(Rotación!$C$19:$V$19,"M3b")</f>
        <v>10</v>
      </c>
      <c r="H105" s="11" t="str">
        <f aca="false">IF(AND(C105=2,D105=2,IF(MOD(A105-1,7)+1&lt;=5,AND(E105=2,F105=2,G105=10),AND(E105=0,F105=0,G105=0))),"OK","Revisar")</f>
        <v>OK</v>
      </c>
    </row>
    <row r="106" customFormat="false" ht="15" hidden="false" customHeight="false" outlineLevel="0" collapsed="false">
      <c r="A106" s="41" t="n">
        <v>16</v>
      </c>
      <c r="B106" s="11" t="str">
        <f aca="false">Rotación!B20</f>
        <v>martes</v>
      </c>
      <c r="C106" s="41" t="n">
        <f aca="false">COUNTIF(Rotación!$C$20:$V$20,"D")</f>
        <v>2</v>
      </c>
      <c r="D106" s="41" t="n">
        <f aca="false">COUNTIF(Rotación!$C$20:$V$20,"N")</f>
        <v>2</v>
      </c>
      <c r="E106" s="41" t="n">
        <f aca="false">COUNTIF(Rotación!$C$20:$V$20,"M2")</f>
        <v>2</v>
      </c>
      <c r="F106" s="41" t="n">
        <f aca="false">COUNTIF(Rotación!$C$20:$V$20,"T2")</f>
        <v>2</v>
      </c>
      <c r="G106" s="41" t="n">
        <f aca="false">COUNTIF(Rotación!$C$20:$V$20,"M3a")+COUNTIF(Rotación!$C$20:$V$20,"M3b")</f>
        <v>10</v>
      </c>
      <c r="H106" s="11" t="str">
        <f aca="false">IF(AND(C106=2,D106=2,IF(MOD(A106-1,7)+1&lt;=5,AND(E106=2,F106=2,G106=10),AND(E106=0,F106=0,G106=0))),"OK","Revisar")</f>
        <v>OK</v>
      </c>
    </row>
    <row r="107" customFormat="false" ht="15" hidden="false" customHeight="false" outlineLevel="0" collapsed="false">
      <c r="A107" s="41" t="n">
        <v>17</v>
      </c>
      <c r="B107" s="11" t="str">
        <f aca="false">Rotación!B21</f>
        <v>miércoles</v>
      </c>
      <c r="C107" s="41" t="n">
        <f aca="false">COUNTIF(Rotación!$C$21:$V$21,"D")</f>
        <v>2</v>
      </c>
      <c r="D107" s="41" t="n">
        <f aca="false">COUNTIF(Rotación!$C$21:$V$21,"N")</f>
        <v>2</v>
      </c>
      <c r="E107" s="41" t="n">
        <f aca="false">COUNTIF(Rotación!$C$21:$V$21,"M2")</f>
        <v>2</v>
      </c>
      <c r="F107" s="41" t="n">
        <f aca="false">COUNTIF(Rotación!$C$21:$V$21,"T2")</f>
        <v>2</v>
      </c>
      <c r="G107" s="41" t="n">
        <f aca="false">COUNTIF(Rotación!$C$21:$V$21,"M3a")+COUNTIF(Rotación!$C$21:$V$21,"M3b")</f>
        <v>10</v>
      </c>
      <c r="H107" s="11" t="str">
        <f aca="false">IF(AND(C107=2,D107=2,IF(MOD(A107-1,7)+1&lt;=5,AND(E107=2,F107=2,G107=10),AND(E107=0,F107=0,G107=0))),"OK","Revisar")</f>
        <v>OK</v>
      </c>
    </row>
    <row r="108" customFormat="false" ht="15" hidden="false" customHeight="false" outlineLevel="0" collapsed="false">
      <c r="A108" s="41" t="n">
        <v>18</v>
      </c>
      <c r="B108" s="11" t="str">
        <f aca="false">Rotación!B22</f>
        <v>jueves</v>
      </c>
      <c r="C108" s="41" t="n">
        <f aca="false">COUNTIF(Rotación!$C$22:$V$22,"D")</f>
        <v>2</v>
      </c>
      <c r="D108" s="41" t="n">
        <f aca="false">COUNTIF(Rotación!$C$22:$V$22,"N")</f>
        <v>2</v>
      </c>
      <c r="E108" s="41" t="n">
        <f aca="false">COUNTIF(Rotación!$C$22:$V$22,"M2")</f>
        <v>2</v>
      </c>
      <c r="F108" s="41" t="n">
        <f aca="false">COUNTIF(Rotación!$C$22:$V$22,"T2")</f>
        <v>2</v>
      </c>
      <c r="G108" s="41" t="n">
        <f aca="false">COUNTIF(Rotación!$C$22:$V$22,"M3a")+COUNTIF(Rotación!$C$22:$V$22,"M3b")</f>
        <v>10</v>
      </c>
      <c r="H108" s="11" t="str">
        <f aca="false">IF(AND(C108=2,D108=2,IF(MOD(A108-1,7)+1&lt;=5,AND(E108=2,F108=2,G108=10),AND(E108=0,F108=0,G108=0))),"OK","Revisar")</f>
        <v>OK</v>
      </c>
    </row>
    <row r="109" customFormat="false" ht="15" hidden="false" customHeight="false" outlineLevel="0" collapsed="false">
      <c r="A109" s="41" t="n">
        <v>19</v>
      </c>
      <c r="B109" s="11" t="str">
        <f aca="false">Rotación!B23</f>
        <v>viernes</v>
      </c>
      <c r="C109" s="41" t="n">
        <f aca="false">COUNTIF(Rotación!$C$23:$V$23,"D")</f>
        <v>2</v>
      </c>
      <c r="D109" s="41" t="n">
        <f aca="false">COUNTIF(Rotación!$C$23:$V$23,"N")</f>
        <v>2</v>
      </c>
      <c r="E109" s="41" t="n">
        <f aca="false">COUNTIF(Rotación!$C$23:$V$23,"M2")</f>
        <v>2</v>
      </c>
      <c r="F109" s="41" t="n">
        <f aca="false">COUNTIF(Rotación!$C$23:$V$23,"T2")</f>
        <v>2</v>
      </c>
      <c r="G109" s="41" t="n">
        <f aca="false">COUNTIF(Rotación!$C$23:$V$23,"M3a")+COUNTIF(Rotación!$C$23:$V$23,"M3b")</f>
        <v>10</v>
      </c>
      <c r="H109" s="11" t="str">
        <f aca="false">IF(AND(C109=2,D109=2,IF(MOD(A109-1,7)+1&lt;=5,AND(E109=2,F109=2,G109=10),AND(E109=0,F109=0,G109=0))),"OK","Revisar")</f>
        <v>OK</v>
      </c>
    </row>
    <row r="110" customFormat="false" ht="15" hidden="false" customHeight="false" outlineLevel="0" collapsed="false">
      <c r="A110" s="41" t="n">
        <v>20</v>
      </c>
      <c r="B110" s="11" t="str">
        <f aca="false">Rotación!B24</f>
        <v>sábado</v>
      </c>
      <c r="C110" s="41" t="n">
        <f aca="false">COUNTIF(Rotación!$C$24:$V$24,"D")</f>
        <v>2</v>
      </c>
      <c r="D110" s="41" t="n">
        <f aca="false">COUNTIF(Rotación!$C$24:$V$24,"N")</f>
        <v>2</v>
      </c>
      <c r="E110" s="41" t="n">
        <f aca="false">COUNTIF(Rotación!$C$24:$V$24,"M2")</f>
        <v>0</v>
      </c>
      <c r="F110" s="41" t="n">
        <f aca="false">COUNTIF(Rotación!$C$24:$V$24,"T2")</f>
        <v>0</v>
      </c>
      <c r="G110" s="41" t="n">
        <f aca="false">COUNTIF(Rotación!$C$24:$V$24,"M3a")+COUNTIF(Rotación!$C$24:$V$24,"M3b")</f>
        <v>0</v>
      </c>
      <c r="H110" s="11" t="str">
        <f aca="false">IF(AND(C110=2,D110=2,IF(MOD(A110-1,7)+1&lt;=5,AND(E110=2,F110=2,G110=10),AND(E110=0,F110=0,G110=0))),"OK","Revisar")</f>
        <v>OK</v>
      </c>
    </row>
    <row r="111" customFormat="false" ht="15" hidden="false" customHeight="false" outlineLevel="0" collapsed="false">
      <c r="A111" s="41" t="n">
        <v>21</v>
      </c>
      <c r="B111" s="11" t="str">
        <f aca="false">Rotación!B25</f>
        <v>domingo</v>
      </c>
      <c r="C111" s="41" t="n">
        <f aca="false">COUNTIF(Rotación!$C$25:$V$25,"D")</f>
        <v>2</v>
      </c>
      <c r="D111" s="41" t="n">
        <f aca="false">COUNTIF(Rotación!$C$25:$V$25,"N")</f>
        <v>2</v>
      </c>
      <c r="E111" s="41" t="n">
        <f aca="false">COUNTIF(Rotación!$C$25:$V$25,"M2")</f>
        <v>0</v>
      </c>
      <c r="F111" s="41" t="n">
        <f aca="false">COUNTIF(Rotación!$C$25:$V$25,"T2")</f>
        <v>0</v>
      </c>
      <c r="G111" s="41" t="n">
        <f aca="false">COUNTIF(Rotación!$C$25:$V$25,"M3a")+COUNTIF(Rotación!$C$25:$V$25,"M3b")</f>
        <v>0</v>
      </c>
      <c r="H111" s="11" t="str">
        <f aca="false">IF(AND(C111=2,D111=2,IF(MOD(A111-1,7)+1&lt;=5,AND(E111=2,F111=2,G111=10),AND(E111=0,F111=0,G111=0))),"OK","Revisar")</f>
        <v>OK</v>
      </c>
    </row>
    <row r="112" customFormat="false" ht="15" hidden="false" customHeight="false" outlineLevel="0" collapsed="false">
      <c r="A112" s="41" t="n">
        <v>22</v>
      </c>
      <c r="B112" s="11" t="str">
        <f aca="false">Rotación!B26</f>
        <v>lunes</v>
      </c>
      <c r="C112" s="41" t="n">
        <f aca="false">COUNTIF(Rotación!$C$26:$V$26,"D")</f>
        <v>2</v>
      </c>
      <c r="D112" s="41" t="n">
        <f aca="false">COUNTIF(Rotación!$C$26:$V$26,"N")</f>
        <v>2</v>
      </c>
      <c r="E112" s="41" t="n">
        <f aca="false">COUNTIF(Rotación!$C$26:$V$26,"M2")</f>
        <v>2</v>
      </c>
      <c r="F112" s="41" t="n">
        <f aca="false">COUNTIF(Rotación!$C$26:$V$26,"T2")</f>
        <v>2</v>
      </c>
      <c r="G112" s="41" t="n">
        <f aca="false">COUNTIF(Rotación!$C$26:$V$26,"M3a")+COUNTIF(Rotación!$C$26:$V$26,"M3b")</f>
        <v>10</v>
      </c>
      <c r="H112" s="11" t="str">
        <f aca="false">IF(AND(C112=2,D112=2,IF(MOD(A112-1,7)+1&lt;=5,AND(E112=2,F112=2,G112=10),AND(E112=0,F112=0,G112=0))),"OK","Revisar")</f>
        <v>OK</v>
      </c>
    </row>
    <row r="113" customFormat="false" ht="15" hidden="false" customHeight="false" outlineLevel="0" collapsed="false">
      <c r="A113" s="41" t="n">
        <v>23</v>
      </c>
      <c r="B113" s="11" t="str">
        <f aca="false">Rotación!B27</f>
        <v>martes</v>
      </c>
      <c r="C113" s="41" t="n">
        <f aca="false">COUNTIF(Rotación!$C$27:$V$27,"D")</f>
        <v>2</v>
      </c>
      <c r="D113" s="41" t="n">
        <f aca="false">COUNTIF(Rotación!$C$27:$V$27,"N")</f>
        <v>2</v>
      </c>
      <c r="E113" s="41" t="n">
        <f aca="false">COUNTIF(Rotación!$C$27:$V$27,"M2")</f>
        <v>2</v>
      </c>
      <c r="F113" s="41" t="n">
        <f aca="false">COUNTIF(Rotación!$C$27:$V$27,"T2")</f>
        <v>2</v>
      </c>
      <c r="G113" s="41" t="n">
        <f aca="false">COUNTIF(Rotación!$C$27:$V$27,"M3a")+COUNTIF(Rotación!$C$27:$V$27,"M3b")</f>
        <v>10</v>
      </c>
      <c r="H113" s="11" t="str">
        <f aca="false">IF(AND(C113=2,D113=2,IF(MOD(A113-1,7)+1&lt;=5,AND(E113=2,F113=2,G113=10),AND(E113=0,F113=0,G113=0))),"OK","Revisar")</f>
        <v>OK</v>
      </c>
    </row>
    <row r="114" customFormat="false" ht="15" hidden="false" customHeight="false" outlineLevel="0" collapsed="false">
      <c r="A114" s="41" t="n">
        <v>24</v>
      </c>
      <c r="B114" s="11" t="str">
        <f aca="false">Rotación!B28</f>
        <v>miércoles</v>
      </c>
      <c r="C114" s="41" t="n">
        <f aca="false">COUNTIF(Rotación!$C$28:$V$28,"D")</f>
        <v>2</v>
      </c>
      <c r="D114" s="41" t="n">
        <f aca="false">COUNTIF(Rotación!$C$28:$V$28,"N")</f>
        <v>2</v>
      </c>
      <c r="E114" s="41" t="n">
        <f aca="false">COUNTIF(Rotación!$C$28:$V$28,"M2")</f>
        <v>2</v>
      </c>
      <c r="F114" s="41" t="n">
        <f aca="false">COUNTIF(Rotación!$C$28:$V$28,"T2")</f>
        <v>2</v>
      </c>
      <c r="G114" s="41" t="n">
        <f aca="false">COUNTIF(Rotación!$C$28:$V$28,"M3a")+COUNTIF(Rotación!$C$28:$V$28,"M3b")</f>
        <v>10</v>
      </c>
      <c r="H114" s="11" t="str">
        <f aca="false">IF(AND(C114=2,D114=2,IF(MOD(A114-1,7)+1&lt;=5,AND(E114=2,F114=2,G114=10),AND(E114=0,F114=0,G114=0))),"OK","Revisar")</f>
        <v>OK</v>
      </c>
    </row>
    <row r="115" customFormat="false" ht="15" hidden="false" customHeight="false" outlineLevel="0" collapsed="false">
      <c r="A115" s="41" t="n">
        <v>25</v>
      </c>
      <c r="B115" s="11" t="str">
        <f aca="false">Rotación!B29</f>
        <v>jueves</v>
      </c>
      <c r="C115" s="41" t="n">
        <f aca="false">COUNTIF(Rotación!$C$29:$V$29,"D")</f>
        <v>2</v>
      </c>
      <c r="D115" s="41" t="n">
        <f aca="false">COUNTIF(Rotación!$C$29:$V$29,"N")</f>
        <v>2</v>
      </c>
      <c r="E115" s="41" t="n">
        <f aca="false">COUNTIF(Rotación!$C$29:$V$29,"M2")</f>
        <v>2</v>
      </c>
      <c r="F115" s="41" t="n">
        <f aca="false">COUNTIF(Rotación!$C$29:$V$29,"T2")</f>
        <v>2</v>
      </c>
      <c r="G115" s="41" t="n">
        <f aca="false">COUNTIF(Rotación!$C$29:$V$29,"M3a")+COUNTIF(Rotación!$C$29:$V$29,"M3b")</f>
        <v>10</v>
      </c>
      <c r="H115" s="11" t="str">
        <f aca="false">IF(AND(C115=2,D115=2,IF(MOD(A115-1,7)+1&lt;=5,AND(E115=2,F115=2,G115=10),AND(E115=0,F115=0,G115=0))),"OK","Revisar")</f>
        <v>OK</v>
      </c>
    </row>
    <row r="116" customFormat="false" ht="15" hidden="false" customHeight="false" outlineLevel="0" collapsed="false">
      <c r="A116" s="41" t="n">
        <v>26</v>
      </c>
      <c r="B116" s="11" t="str">
        <f aca="false">Rotación!B30</f>
        <v>viernes</v>
      </c>
      <c r="C116" s="41" t="n">
        <f aca="false">COUNTIF(Rotación!$C$30:$V$30,"D")</f>
        <v>2</v>
      </c>
      <c r="D116" s="41" t="n">
        <f aca="false">COUNTIF(Rotación!$C$30:$V$30,"N")</f>
        <v>2</v>
      </c>
      <c r="E116" s="41" t="n">
        <f aca="false">COUNTIF(Rotación!$C$30:$V$30,"M2")</f>
        <v>2</v>
      </c>
      <c r="F116" s="41" t="n">
        <f aca="false">COUNTIF(Rotación!$C$30:$V$30,"T2")</f>
        <v>2</v>
      </c>
      <c r="G116" s="41" t="n">
        <f aca="false">COUNTIF(Rotación!$C$30:$V$30,"M3a")+COUNTIF(Rotación!$C$30:$V$30,"M3b")</f>
        <v>10</v>
      </c>
      <c r="H116" s="11" t="str">
        <f aca="false">IF(AND(C116=2,D116=2,IF(MOD(A116-1,7)+1&lt;=5,AND(E116=2,F116=2,G116=10),AND(E116=0,F116=0,G116=0))),"OK","Revisar")</f>
        <v>OK</v>
      </c>
    </row>
    <row r="117" customFormat="false" ht="15" hidden="false" customHeight="false" outlineLevel="0" collapsed="false">
      <c r="A117" s="41" t="n">
        <v>27</v>
      </c>
      <c r="B117" s="11" t="str">
        <f aca="false">Rotación!B31</f>
        <v>sábado</v>
      </c>
      <c r="C117" s="41" t="n">
        <f aca="false">COUNTIF(Rotación!$C$31:$V$31,"D")</f>
        <v>2</v>
      </c>
      <c r="D117" s="41" t="n">
        <f aca="false">COUNTIF(Rotación!$C$31:$V$31,"N")</f>
        <v>2</v>
      </c>
      <c r="E117" s="41" t="n">
        <f aca="false">COUNTIF(Rotación!$C$31:$V$31,"M2")</f>
        <v>0</v>
      </c>
      <c r="F117" s="41" t="n">
        <f aca="false">COUNTIF(Rotación!$C$31:$V$31,"T2")</f>
        <v>0</v>
      </c>
      <c r="G117" s="41" t="n">
        <f aca="false">COUNTIF(Rotación!$C$31:$V$31,"M3a")+COUNTIF(Rotación!$C$31:$V$31,"M3b")</f>
        <v>0</v>
      </c>
      <c r="H117" s="11" t="str">
        <f aca="false">IF(AND(C117=2,D117=2,IF(MOD(A117-1,7)+1&lt;=5,AND(E117=2,F117=2,G117=10),AND(E117=0,F117=0,G117=0))),"OK","Revisar")</f>
        <v>OK</v>
      </c>
    </row>
    <row r="118" customFormat="false" ht="15" hidden="false" customHeight="false" outlineLevel="0" collapsed="false">
      <c r="A118" s="41" t="n">
        <v>28</v>
      </c>
      <c r="B118" s="11" t="str">
        <f aca="false">Rotación!B32</f>
        <v>domingo</v>
      </c>
      <c r="C118" s="41" t="n">
        <f aca="false">COUNTIF(Rotación!$C$32:$V$32,"D")</f>
        <v>2</v>
      </c>
      <c r="D118" s="41" t="n">
        <f aca="false">COUNTIF(Rotación!$C$32:$V$32,"N")</f>
        <v>2</v>
      </c>
      <c r="E118" s="41" t="n">
        <f aca="false">COUNTIF(Rotación!$C$32:$V$32,"M2")</f>
        <v>0</v>
      </c>
      <c r="F118" s="41" t="n">
        <f aca="false">COUNTIF(Rotación!$C$32:$V$32,"T2")</f>
        <v>0</v>
      </c>
      <c r="G118" s="41" t="n">
        <f aca="false">COUNTIF(Rotación!$C$32:$V$32,"M3a")+COUNTIF(Rotación!$C$32:$V$32,"M3b")</f>
        <v>0</v>
      </c>
      <c r="H118" s="11" t="str">
        <f aca="false">IF(AND(C118=2,D118=2,IF(MOD(A118-1,7)+1&lt;=5,AND(E118=2,F118=2,G118=10),AND(E118=0,F118=0,G118=0))),"OK","Revisar")</f>
        <v>OK</v>
      </c>
    </row>
    <row r="119" customFormat="false" ht="15" hidden="false" customHeight="false" outlineLevel="0" collapsed="false">
      <c r="A119" s="41" t="n">
        <v>29</v>
      </c>
      <c r="B119" s="11" t="str">
        <f aca="false">Rotación!B33</f>
        <v>lunes</v>
      </c>
      <c r="C119" s="41" t="n">
        <f aca="false">COUNTIF(Rotación!$C$33:$V$33,"D")</f>
        <v>2</v>
      </c>
      <c r="D119" s="41" t="n">
        <f aca="false">COUNTIF(Rotación!$C$33:$V$33,"N")</f>
        <v>2</v>
      </c>
      <c r="E119" s="41" t="n">
        <f aca="false">COUNTIF(Rotación!$C$33:$V$33,"M2")</f>
        <v>2</v>
      </c>
      <c r="F119" s="41" t="n">
        <f aca="false">COUNTIF(Rotación!$C$33:$V$33,"T2")</f>
        <v>2</v>
      </c>
      <c r="G119" s="41" t="n">
        <f aca="false">COUNTIF(Rotación!$C$33:$V$33,"M3a")+COUNTIF(Rotación!$C$33:$V$33,"M3b")</f>
        <v>10</v>
      </c>
      <c r="H119" s="11" t="str">
        <f aca="false">IF(AND(C119=2,D119=2,IF(MOD(A119-1,7)+1&lt;=5,AND(E119=2,F119=2,G119=10),AND(E119=0,F119=0,G119=0))),"OK","Revisar")</f>
        <v>OK</v>
      </c>
    </row>
    <row r="120" customFormat="false" ht="15" hidden="false" customHeight="false" outlineLevel="0" collapsed="false">
      <c r="A120" s="41" t="n">
        <v>30</v>
      </c>
      <c r="B120" s="11" t="str">
        <f aca="false">Rotación!B34</f>
        <v>martes</v>
      </c>
      <c r="C120" s="41" t="n">
        <f aca="false">COUNTIF(Rotación!$C$34:$V$34,"D")</f>
        <v>2</v>
      </c>
      <c r="D120" s="41" t="n">
        <f aca="false">COUNTIF(Rotación!$C$34:$V$34,"N")</f>
        <v>2</v>
      </c>
      <c r="E120" s="41" t="n">
        <f aca="false">COUNTIF(Rotación!$C$34:$V$34,"M2")</f>
        <v>2</v>
      </c>
      <c r="F120" s="41" t="n">
        <f aca="false">COUNTIF(Rotación!$C$34:$V$34,"T2")</f>
        <v>2</v>
      </c>
      <c r="G120" s="41" t="n">
        <f aca="false">COUNTIF(Rotación!$C$34:$V$34,"M3a")+COUNTIF(Rotación!$C$34:$V$34,"M3b")</f>
        <v>10</v>
      </c>
      <c r="H120" s="11" t="str">
        <f aca="false">IF(AND(C120=2,D120=2,IF(MOD(A120-1,7)+1&lt;=5,AND(E120=2,F120=2,G120=10),AND(E120=0,F120=0,G120=0))),"OK","Revisar")</f>
        <v>OK</v>
      </c>
    </row>
    <row r="121" customFormat="false" ht="15" hidden="false" customHeight="false" outlineLevel="0" collapsed="false">
      <c r="A121" s="41" t="n">
        <v>31</v>
      </c>
      <c r="B121" s="11" t="str">
        <f aca="false">Rotación!B35</f>
        <v>miércoles</v>
      </c>
      <c r="C121" s="41" t="n">
        <f aca="false">COUNTIF(Rotación!$C$35:$V$35,"D")</f>
        <v>2</v>
      </c>
      <c r="D121" s="41" t="n">
        <f aca="false">COUNTIF(Rotación!$C$35:$V$35,"N")</f>
        <v>2</v>
      </c>
      <c r="E121" s="41" t="n">
        <f aca="false">COUNTIF(Rotación!$C$35:$V$35,"M2")</f>
        <v>2</v>
      </c>
      <c r="F121" s="41" t="n">
        <f aca="false">COUNTIF(Rotación!$C$35:$V$35,"T2")</f>
        <v>2</v>
      </c>
      <c r="G121" s="41" t="n">
        <f aca="false">COUNTIF(Rotación!$C$35:$V$35,"M3a")+COUNTIF(Rotación!$C$35:$V$35,"M3b")</f>
        <v>10</v>
      </c>
      <c r="H121" s="11" t="str">
        <f aca="false">IF(AND(C121=2,D121=2,IF(MOD(A121-1,7)+1&lt;=5,AND(E121=2,F121=2,G121=10),AND(E121=0,F121=0,G121=0))),"OK","Revisar")</f>
        <v>OK</v>
      </c>
    </row>
    <row r="122" customFormat="false" ht="15" hidden="false" customHeight="false" outlineLevel="0" collapsed="false">
      <c r="A122" s="41" t="n">
        <v>32</v>
      </c>
      <c r="B122" s="11" t="str">
        <f aca="false">Rotación!B36</f>
        <v>jueves</v>
      </c>
      <c r="C122" s="41" t="n">
        <f aca="false">COUNTIF(Rotación!$C$36:$V$36,"D")</f>
        <v>2</v>
      </c>
      <c r="D122" s="41" t="n">
        <f aca="false">COUNTIF(Rotación!$C$36:$V$36,"N")</f>
        <v>2</v>
      </c>
      <c r="E122" s="41" t="n">
        <f aca="false">COUNTIF(Rotación!$C$36:$V$36,"M2")</f>
        <v>2</v>
      </c>
      <c r="F122" s="41" t="n">
        <f aca="false">COUNTIF(Rotación!$C$36:$V$36,"T2")</f>
        <v>2</v>
      </c>
      <c r="G122" s="41" t="n">
        <f aca="false">COUNTIF(Rotación!$C$36:$V$36,"M3a")+COUNTIF(Rotación!$C$36:$V$36,"M3b")</f>
        <v>10</v>
      </c>
      <c r="H122" s="11" t="str">
        <f aca="false">IF(AND(C122=2,D122=2,IF(MOD(A122-1,7)+1&lt;=5,AND(E122=2,F122=2,G122=10),AND(E122=0,F122=0,G122=0))),"OK","Revisar")</f>
        <v>OK</v>
      </c>
    </row>
    <row r="123" customFormat="false" ht="15" hidden="false" customHeight="false" outlineLevel="0" collapsed="false">
      <c r="A123" s="41" t="n">
        <v>33</v>
      </c>
      <c r="B123" s="11" t="str">
        <f aca="false">Rotación!B37</f>
        <v>viernes</v>
      </c>
      <c r="C123" s="41" t="n">
        <f aca="false">COUNTIF(Rotación!$C$37:$V$37,"D")</f>
        <v>2</v>
      </c>
      <c r="D123" s="41" t="n">
        <f aca="false">COUNTIF(Rotación!$C$37:$V$37,"N")</f>
        <v>2</v>
      </c>
      <c r="E123" s="41" t="n">
        <f aca="false">COUNTIF(Rotación!$C$37:$V$37,"M2")</f>
        <v>2</v>
      </c>
      <c r="F123" s="41" t="n">
        <f aca="false">COUNTIF(Rotación!$C$37:$V$37,"T2")</f>
        <v>2</v>
      </c>
      <c r="G123" s="41" t="n">
        <f aca="false">COUNTIF(Rotación!$C$37:$V$37,"M3a")+COUNTIF(Rotación!$C$37:$V$37,"M3b")</f>
        <v>10</v>
      </c>
      <c r="H123" s="11" t="str">
        <f aca="false">IF(AND(C123=2,D123=2,IF(MOD(A123-1,7)+1&lt;=5,AND(E123=2,F123=2,G123=10),AND(E123=0,F123=0,G123=0))),"OK","Revisar")</f>
        <v>OK</v>
      </c>
    </row>
    <row r="124" customFormat="false" ht="15" hidden="false" customHeight="false" outlineLevel="0" collapsed="false">
      <c r="A124" s="41" t="n">
        <v>34</v>
      </c>
      <c r="B124" s="11" t="str">
        <f aca="false">Rotación!B38</f>
        <v>sábado</v>
      </c>
      <c r="C124" s="41" t="n">
        <f aca="false">COUNTIF(Rotación!$C$38:$V$38,"D")</f>
        <v>2</v>
      </c>
      <c r="D124" s="41" t="n">
        <f aca="false">COUNTIF(Rotación!$C$38:$V$38,"N")</f>
        <v>2</v>
      </c>
      <c r="E124" s="41" t="n">
        <f aca="false">COUNTIF(Rotación!$C$38:$V$38,"M2")</f>
        <v>0</v>
      </c>
      <c r="F124" s="41" t="n">
        <f aca="false">COUNTIF(Rotación!$C$38:$V$38,"T2")</f>
        <v>0</v>
      </c>
      <c r="G124" s="41" t="n">
        <f aca="false">COUNTIF(Rotación!$C$38:$V$38,"M3a")+COUNTIF(Rotación!$C$38:$V$38,"M3b")</f>
        <v>0</v>
      </c>
      <c r="H124" s="11" t="str">
        <f aca="false">IF(AND(C124=2,D124=2,IF(MOD(A124-1,7)+1&lt;=5,AND(E124=2,F124=2,G124=10),AND(E124=0,F124=0,G124=0))),"OK","Revisar")</f>
        <v>OK</v>
      </c>
    </row>
    <row r="125" customFormat="false" ht="15" hidden="false" customHeight="false" outlineLevel="0" collapsed="false">
      <c r="A125" s="41" t="n">
        <v>35</v>
      </c>
      <c r="B125" s="11" t="str">
        <f aca="false">Rotación!B39</f>
        <v>domingo</v>
      </c>
      <c r="C125" s="41" t="n">
        <f aca="false">COUNTIF(Rotación!$C$39:$V$39,"D")</f>
        <v>2</v>
      </c>
      <c r="D125" s="41" t="n">
        <f aca="false">COUNTIF(Rotación!$C$39:$V$39,"N")</f>
        <v>2</v>
      </c>
      <c r="E125" s="41" t="n">
        <f aca="false">COUNTIF(Rotación!$C$39:$V$39,"M2")</f>
        <v>0</v>
      </c>
      <c r="F125" s="41" t="n">
        <f aca="false">COUNTIF(Rotación!$C$39:$V$39,"T2")</f>
        <v>0</v>
      </c>
      <c r="G125" s="41" t="n">
        <f aca="false">COUNTIF(Rotación!$C$39:$V$39,"M3a")+COUNTIF(Rotación!$C$39:$V$39,"M3b")</f>
        <v>0</v>
      </c>
      <c r="H125" s="11" t="str">
        <f aca="false">IF(AND(C125=2,D125=2,IF(MOD(A125-1,7)+1&lt;=5,AND(E125=2,F125=2,G125=10),AND(E125=0,F125=0,G125=0))),"OK","Revisar")</f>
        <v>OK</v>
      </c>
    </row>
    <row r="126" customFormat="false" ht="15" hidden="false" customHeight="false" outlineLevel="0" collapsed="false">
      <c r="A126" s="41" t="n">
        <v>36</v>
      </c>
      <c r="B126" s="11" t="str">
        <f aca="false">Rotación!B40</f>
        <v>lunes</v>
      </c>
      <c r="C126" s="41" t="n">
        <f aca="false">COUNTIF(Rotación!$C$40:$V$40,"D")</f>
        <v>2</v>
      </c>
      <c r="D126" s="41" t="n">
        <f aca="false">COUNTIF(Rotación!$C$40:$V$40,"N")</f>
        <v>2</v>
      </c>
      <c r="E126" s="41" t="n">
        <f aca="false">COUNTIF(Rotación!$C$40:$V$40,"M2")</f>
        <v>2</v>
      </c>
      <c r="F126" s="41" t="n">
        <f aca="false">COUNTIF(Rotación!$C$40:$V$40,"T2")</f>
        <v>2</v>
      </c>
      <c r="G126" s="41" t="n">
        <f aca="false">COUNTIF(Rotación!$C$40:$V$40,"M3a")+COUNTIF(Rotación!$C$40:$V$40,"M3b")</f>
        <v>10</v>
      </c>
      <c r="H126" s="11" t="str">
        <f aca="false">IF(AND(C126=2,D126=2,IF(MOD(A126-1,7)+1&lt;=5,AND(E126=2,F126=2,G126=10),AND(E126=0,F126=0,G126=0))),"OK","Revisar")</f>
        <v>OK</v>
      </c>
    </row>
    <row r="127" customFormat="false" ht="15" hidden="false" customHeight="false" outlineLevel="0" collapsed="false">
      <c r="A127" s="41" t="n">
        <v>37</v>
      </c>
      <c r="B127" s="11" t="str">
        <f aca="false">Rotación!B41</f>
        <v>martes</v>
      </c>
      <c r="C127" s="41" t="n">
        <f aca="false">COUNTIF(Rotación!$C$41:$V$41,"D")</f>
        <v>2</v>
      </c>
      <c r="D127" s="41" t="n">
        <f aca="false">COUNTIF(Rotación!$C$41:$V$41,"N")</f>
        <v>2</v>
      </c>
      <c r="E127" s="41" t="n">
        <f aca="false">COUNTIF(Rotación!$C$41:$V$41,"M2")</f>
        <v>2</v>
      </c>
      <c r="F127" s="41" t="n">
        <f aca="false">COUNTIF(Rotación!$C$41:$V$41,"T2")</f>
        <v>2</v>
      </c>
      <c r="G127" s="41" t="n">
        <f aca="false">COUNTIF(Rotación!$C$41:$V$41,"M3a")+COUNTIF(Rotación!$C$41:$V$41,"M3b")</f>
        <v>10</v>
      </c>
      <c r="H127" s="11" t="str">
        <f aca="false">IF(AND(C127=2,D127=2,IF(MOD(A127-1,7)+1&lt;=5,AND(E127=2,F127=2,G127=10),AND(E127=0,F127=0,G127=0))),"OK","Revisar")</f>
        <v>OK</v>
      </c>
    </row>
    <row r="128" customFormat="false" ht="15" hidden="false" customHeight="false" outlineLevel="0" collapsed="false">
      <c r="A128" s="41" t="n">
        <v>38</v>
      </c>
      <c r="B128" s="11" t="str">
        <f aca="false">Rotación!B42</f>
        <v>miércoles</v>
      </c>
      <c r="C128" s="41" t="n">
        <f aca="false">COUNTIF(Rotación!$C$42:$V$42,"D")</f>
        <v>2</v>
      </c>
      <c r="D128" s="41" t="n">
        <f aca="false">COUNTIF(Rotación!$C$42:$V$42,"N")</f>
        <v>2</v>
      </c>
      <c r="E128" s="41" t="n">
        <f aca="false">COUNTIF(Rotación!$C$42:$V$42,"M2")</f>
        <v>2</v>
      </c>
      <c r="F128" s="41" t="n">
        <f aca="false">COUNTIF(Rotación!$C$42:$V$42,"T2")</f>
        <v>2</v>
      </c>
      <c r="G128" s="41" t="n">
        <f aca="false">COUNTIF(Rotación!$C$42:$V$42,"M3a")+COUNTIF(Rotación!$C$42:$V$42,"M3b")</f>
        <v>10</v>
      </c>
      <c r="H128" s="11" t="str">
        <f aca="false">IF(AND(C128=2,D128=2,IF(MOD(A128-1,7)+1&lt;=5,AND(E128=2,F128=2,G128=10),AND(E128=0,F128=0,G128=0))),"OK","Revisar")</f>
        <v>OK</v>
      </c>
    </row>
    <row r="129" customFormat="false" ht="15" hidden="false" customHeight="false" outlineLevel="0" collapsed="false">
      <c r="A129" s="41" t="n">
        <v>39</v>
      </c>
      <c r="B129" s="11" t="str">
        <f aca="false">Rotación!B43</f>
        <v>jueves</v>
      </c>
      <c r="C129" s="41" t="n">
        <f aca="false">COUNTIF(Rotación!$C$43:$V$43,"D")</f>
        <v>2</v>
      </c>
      <c r="D129" s="41" t="n">
        <f aca="false">COUNTIF(Rotación!$C$43:$V$43,"N")</f>
        <v>2</v>
      </c>
      <c r="E129" s="41" t="n">
        <f aca="false">COUNTIF(Rotación!$C$43:$V$43,"M2")</f>
        <v>2</v>
      </c>
      <c r="F129" s="41" t="n">
        <f aca="false">COUNTIF(Rotación!$C$43:$V$43,"T2")</f>
        <v>2</v>
      </c>
      <c r="G129" s="41" t="n">
        <f aca="false">COUNTIF(Rotación!$C$43:$V$43,"M3a")+COUNTIF(Rotación!$C$43:$V$43,"M3b")</f>
        <v>10</v>
      </c>
      <c r="H129" s="11" t="str">
        <f aca="false">IF(AND(C129=2,D129=2,IF(MOD(A129-1,7)+1&lt;=5,AND(E129=2,F129=2,G129=10),AND(E129=0,F129=0,G129=0))),"OK","Revisar")</f>
        <v>OK</v>
      </c>
    </row>
    <row r="130" customFormat="false" ht="15" hidden="false" customHeight="false" outlineLevel="0" collapsed="false">
      <c r="A130" s="41" t="n">
        <v>40</v>
      </c>
      <c r="B130" s="11" t="str">
        <f aca="false">Rotación!B44</f>
        <v>viernes</v>
      </c>
      <c r="C130" s="41" t="n">
        <f aca="false">COUNTIF(Rotación!$C$44:$V$44,"D")</f>
        <v>2</v>
      </c>
      <c r="D130" s="41" t="n">
        <f aca="false">COUNTIF(Rotación!$C$44:$V$44,"N")</f>
        <v>2</v>
      </c>
      <c r="E130" s="41" t="n">
        <f aca="false">COUNTIF(Rotación!$C$44:$V$44,"M2")</f>
        <v>2</v>
      </c>
      <c r="F130" s="41" t="n">
        <f aca="false">COUNTIF(Rotación!$C$44:$V$44,"T2")</f>
        <v>2</v>
      </c>
      <c r="G130" s="41" t="n">
        <f aca="false">COUNTIF(Rotación!$C$44:$V$44,"M3a")+COUNTIF(Rotación!$C$44:$V$44,"M3b")</f>
        <v>10</v>
      </c>
      <c r="H130" s="11" t="str">
        <f aca="false">IF(AND(C130=2,D130=2,IF(MOD(A130-1,7)+1&lt;=5,AND(E130=2,F130=2,G130=10),AND(E130=0,F130=0,G130=0))),"OK","Revisar")</f>
        <v>OK</v>
      </c>
    </row>
    <row r="131" customFormat="false" ht="15" hidden="false" customHeight="false" outlineLevel="0" collapsed="false">
      <c r="A131" s="41" t="n">
        <v>41</v>
      </c>
      <c r="B131" s="11" t="str">
        <f aca="false">Rotación!B45</f>
        <v>sábado</v>
      </c>
      <c r="C131" s="41" t="n">
        <f aca="false">COUNTIF(Rotación!$C$45:$V$45,"D")</f>
        <v>2</v>
      </c>
      <c r="D131" s="41" t="n">
        <f aca="false">COUNTIF(Rotación!$C$45:$V$45,"N")</f>
        <v>2</v>
      </c>
      <c r="E131" s="41" t="n">
        <f aca="false">COUNTIF(Rotación!$C$45:$V$45,"M2")</f>
        <v>0</v>
      </c>
      <c r="F131" s="41" t="n">
        <f aca="false">COUNTIF(Rotación!$C$45:$V$45,"T2")</f>
        <v>0</v>
      </c>
      <c r="G131" s="41" t="n">
        <f aca="false">COUNTIF(Rotación!$C$45:$V$45,"M3a")+COUNTIF(Rotación!$C$45:$V$45,"M3b")</f>
        <v>0</v>
      </c>
      <c r="H131" s="11" t="str">
        <f aca="false">IF(AND(C131=2,D131=2,IF(MOD(A131-1,7)+1&lt;=5,AND(E131=2,F131=2,G131=10),AND(E131=0,F131=0,G131=0))),"OK","Revisar")</f>
        <v>OK</v>
      </c>
    </row>
    <row r="132" customFormat="false" ht="15" hidden="false" customHeight="false" outlineLevel="0" collapsed="false">
      <c r="A132" s="41" t="n">
        <v>42</v>
      </c>
      <c r="B132" s="11" t="str">
        <f aca="false">Rotación!B46</f>
        <v>domingo</v>
      </c>
      <c r="C132" s="41" t="n">
        <f aca="false">COUNTIF(Rotación!$C$46:$V$46,"D")</f>
        <v>2</v>
      </c>
      <c r="D132" s="41" t="n">
        <f aca="false">COUNTIF(Rotación!$C$46:$V$46,"N")</f>
        <v>2</v>
      </c>
      <c r="E132" s="41" t="n">
        <f aca="false">COUNTIF(Rotación!$C$46:$V$46,"M2")</f>
        <v>0</v>
      </c>
      <c r="F132" s="41" t="n">
        <f aca="false">COUNTIF(Rotación!$C$46:$V$46,"T2")</f>
        <v>0</v>
      </c>
      <c r="G132" s="41" t="n">
        <f aca="false">COUNTIF(Rotación!$C$46:$V$46,"M3a")+COUNTIF(Rotación!$C$46:$V$46,"M3b")</f>
        <v>0</v>
      </c>
      <c r="H132" s="11" t="str">
        <f aca="false">IF(AND(C132=2,D132=2,IF(MOD(A132-1,7)+1&lt;=5,AND(E132=2,F132=2,G132=10),AND(E132=0,F132=0,G132=0))),"OK","Revisar")</f>
        <v>OK</v>
      </c>
    </row>
  </sheetData>
  <mergeCells count="7">
    <mergeCell ref="C80:J80"/>
    <mergeCell ref="C81:J81"/>
    <mergeCell ref="C82:J82"/>
    <mergeCell ref="C83:J83"/>
    <mergeCell ref="C84:J84"/>
    <mergeCell ref="C85:J85"/>
    <mergeCell ref="C86:J86"/>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22"/>
    <col collapsed="false" customWidth="true" hidden="false" outlineLevel="0" max="4" min="4" style="0" width="50"/>
    <col collapsed="false" customWidth="true" hidden="false" outlineLevel="0" max="5" min="5" style="0" width="10"/>
    <col collapsed="false" customWidth="true" hidden="false" outlineLevel="0" max="6" min="6" style="0" width="7"/>
    <col collapsed="false" customWidth="true" hidden="false" outlineLevel="0" max="7" min="7" style="0" width="32"/>
    <col collapsed="false" customWidth="true" hidden="false" outlineLevel="0" max="9" min="8" style="0" width="15"/>
    <col collapsed="false" customWidth="true" hidden="false" outlineLevel="0" max="10" min="10" style="0" width="32"/>
    <col collapsed="false" customWidth="true" hidden="false" outlineLevel="0" max="11" min="11" style="0" width="22"/>
    <col collapsed="false" customWidth="true" hidden="false" outlineLevel="0" max="12" min="12" style="0" width="16"/>
  </cols>
  <sheetData>
    <row r="1" customFormat="false" ht="17.35" hidden="false" customHeight="false" outlineLevel="0" collapsed="false">
      <c r="A1" s="1" t="s">
        <v>1034</v>
      </c>
    </row>
    <row r="2" customFormat="false" ht="15" hidden="false" customHeight="false" outlineLevel="0" collapsed="false">
      <c r="A2" s="2" t="s">
        <v>1035</v>
      </c>
    </row>
    <row r="4" customFormat="false" ht="23.85" hidden="false" customHeight="false" outlineLevel="0" collapsed="false">
      <c r="A4" s="10" t="s">
        <v>1036</v>
      </c>
      <c r="B4" s="10" t="s">
        <v>37</v>
      </c>
      <c r="C4" s="10" t="s">
        <v>1037</v>
      </c>
      <c r="D4" s="10" t="s">
        <v>947</v>
      </c>
      <c r="E4" s="10" t="s">
        <v>41</v>
      </c>
      <c r="F4" s="10" t="s">
        <v>40</v>
      </c>
      <c r="G4" s="10" t="s">
        <v>1038</v>
      </c>
      <c r="H4" s="10" t="s">
        <v>1039</v>
      </c>
      <c r="I4" s="10" t="s">
        <v>1040</v>
      </c>
      <c r="J4" s="10" t="s">
        <v>579</v>
      </c>
      <c r="K4" s="10" t="s">
        <v>1041</v>
      </c>
      <c r="L4" s="10" t="s">
        <v>1042</v>
      </c>
    </row>
    <row r="5" customFormat="false" ht="27.2" hidden="false" customHeight="false" outlineLevel="0" collapsed="false">
      <c r="A5" s="11" t="n">
        <v>1</v>
      </c>
      <c r="B5" s="11" t="s">
        <v>485</v>
      </c>
      <c r="C5" s="48" t="s">
        <v>1043</v>
      </c>
      <c r="D5" s="11" t="s">
        <v>1044</v>
      </c>
      <c r="E5" s="11" t="s">
        <v>1045</v>
      </c>
      <c r="F5" s="11" t="s">
        <v>1868</v>
      </c>
      <c r="G5" s="11" t="s">
        <v>1046</v>
      </c>
      <c r="H5" s="11" t="s">
        <v>1047</v>
      </c>
      <c r="I5" s="11" t="s">
        <v>1048</v>
      </c>
      <c r="J5" s="11" t="s">
        <v>1049</v>
      </c>
      <c r="K5" s="11" t="s">
        <v>1050</v>
      </c>
      <c r="L5" s="11" t="s">
        <v>1051</v>
      </c>
    </row>
    <row r="6" customFormat="false" ht="27.2" hidden="false" customHeight="false" outlineLevel="0" collapsed="false">
      <c r="A6" s="11" t="n">
        <v>2</v>
      </c>
      <c r="B6" s="11" t="s">
        <v>485</v>
      </c>
      <c r="C6" s="48" t="s">
        <v>1052</v>
      </c>
      <c r="D6" s="11" t="s">
        <v>1053</v>
      </c>
      <c r="E6" s="11" t="s">
        <v>1054</v>
      </c>
      <c r="F6" s="11" t="s">
        <v>1869</v>
      </c>
      <c r="G6" s="11" t="s">
        <v>1055</v>
      </c>
      <c r="H6" s="11" t="s">
        <v>1047</v>
      </c>
      <c r="I6" s="11" t="s">
        <v>1048</v>
      </c>
      <c r="J6" s="11" t="s">
        <v>1056</v>
      </c>
      <c r="K6" s="11" t="s">
        <v>1050</v>
      </c>
      <c r="L6" s="11" t="s">
        <v>1051</v>
      </c>
    </row>
    <row r="7" customFormat="false" ht="27.2" hidden="false" customHeight="false" outlineLevel="0" collapsed="false">
      <c r="A7" s="11" t="n">
        <v>3</v>
      </c>
      <c r="B7" s="11" t="s">
        <v>485</v>
      </c>
      <c r="C7" s="48" t="s">
        <v>1057</v>
      </c>
      <c r="D7" s="11" t="s">
        <v>1058</v>
      </c>
      <c r="E7" s="11" t="s">
        <v>1059</v>
      </c>
      <c r="F7" s="11" t="s">
        <v>1870</v>
      </c>
      <c r="G7" s="11" t="s">
        <v>1060</v>
      </c>
      <c r="H7" s="11" t="s">
        <v>1047</v>
      </c>
      <c r="I7" s="11" t="s">
        <v>1061</v>
      </c>
      <c r="J7" s="11" t="s">
        <v>1062</v>
      </c>
      <c r="K7" s="11" t="s">
        <v>1063</v>
      </c>
      <c r="L7" s="11" t="s">
        <v>1064</v>
      </c>
    </row>
    <row r="8" customFormat="false" ht="27.2" hidden="false" customHeight="false" outlineLevel="0" collapsed="false">
      <c r="A8" s="11" t="n">
        <v>4</v>
      </c>
      <c r="B8" s="11" t="s">
        <v>1065</v>
      </c>
      <c r="C8" s="48" t="s">
        <v>1066</v>
      </c>
      <c r="D8" s="11" t="s">
        <v>1067</v>
      </c>
      <c r="E8" s="11" t="s">
        <v>1068</v>
      </c>
      <c r="F8" s="11" t="s">
        <v>1871</v>
      </c>
      <c r="G8" s="11" t="s">
        <v>1069</v>
      </c>
      <c r="H8" s="11" t="s">
        <v>1070</v>
      </c>
      <c r="I8" s="11" t="s">
        <v>1061</v>
      </c>
      <c r="J8" s="11" t="s">
        <v>1071</v>
      </c>
      <c r="K8" s="11" t="s">
        <v>1072</v>
      </c>
      <c r="L8" s="11" t="s">
        <v>1064</v>
      </c>
    </row>
    <row r="9" customFormat="false" ht="27.2" hidden="false" customHeight="false" outlineLevel="0" collapsed="false">
      <c r="A9" s="11" t="n">
        <v>5</v>
      </c>
      <c r="B9" s="11" t="s">
        <v>1065</v>
      </c>
      <c r="C9" s="48" t="s">
        <v>1073</v>
      </c>
      <c r="D9" s="11" t="s">
        <v>1074</v>
      </c>
      <c r="E9" s="11" t="s">
        <v>1068</v>
      </c>
      <c r="F9" s="11" t="s">
        <v>1872</v>
      </c>
      <c r="G9" s="11" t="s">
        <v>1075</v>
      </c>
      <c r="H9" s="11" t="s">
        <v>1070</v>
      </c>
      <c r="I9" s="11" t="s">
        <v>1061</v>
      </c>
      <c r="J9" s="11" t="s">
        <v>1071</v>
      </c>
      <c r="K9" s="11" t="s">
        <v>1076</v>
      </c>
      <c r="L9" s="11" t="s">
        <v>1064</v>
      </c>
    </row>
    <row r="10" customFormat="false" ht="27.2" hidden="false" customHeight="false" outlineLevel="0" collapsed="false">
      <c r="A10" s="11" t="n">
        <v>6</v>
      </c>
      <c r="B10" s="11" t="s">
        <v>1065</v>
      </c>
      <c r="C10" s="48" t="s">
        <v>1077</v>
      </c>
      <c r="D10" s="11" t="s">
        <v>1078</v>
      </c>
      <c r="E10" s="11" t="s">
        <v>1045</v>
      </c>
      <c r="F10" s="11" t="s">
        <v>1873</v>
      </c>
      <c r="G10" s="11" t="s">
        <v>1079</v>
      </c>
      <c r="H10" s="11" t="s">
        <v>1070</v>
      </c>
      <c r="I10" s="11" t="s">
        <v>1080</v>
      </c>
      <c r="J10" s="11" t="s">
        <v>1081</v>
      </c>
      <c r="K10" s="11" t="s">
        <v>1082</v>
      </c>
      <c r="L10" s="11" t="s">
        <v>1709</v>
      </c>
    </row>
    <row r="11" customFormat="false" ht="27.2" hidden="false" customHeight="false" outlineLevel="0" collapsed="false">
      <c r="A11" s="11" t="n">
        <v>7</v>
      </c>
      <c r="B11" s="11" t="s">
        <v>1065</v>
      </c>
      <c r="C11" s="48" t="s">
        <v>1084</v>
      </c>
      <c r="D11" s="11" t="s">
        <v>1085</v>
      </c>
      <c r="E11" s="11" t="s">
        <v>1059</v>
      </c>
      <c r="F11" s="11" t="s">
        <v>1874</v>
      </c>
      <c r="G11" s="11" t="s">
        <v>1086</v>
      </c>
      <c r="H11" s="11" t="s">
        <v>1070</v>
      </c>
      <c r="I11" s="11" t="s">
        <v>1080</v>
      </c>
      <c r="J11" s="11" t="s">
        <v>1087</v>
      </c>
      <c r="K11" s="11" t="s">
        <v>1088</v>
      </c>
      <c r="L11" s="11" t="s">
        <v>1064</v>
      </c>
    </row>
    <row r="12" customFormat="false" ht="27.2" hidden="false" customHeight="false" outlineLevel="0" collapsed="false">
      <c r="A12" s="11" t="n">
        <v>8</v>
      </c>
      <c r="B12" s="11" t="s">
        <v>1065</v>
      </c>
      <c r="C12" s="48" t="s">
        <v>1089</v>
      </c>
      <c r="D12" s="11" t="s">
        <v>1090</v>
      </c>
      <c r="E12" s="11" t="s">
        <v>1068</v>
      </c>
      <c r="F12" s="11" t="s">
        <v>1875</v>
      </c>
      <c r="G12" s="11" t="s">
        <v>1091</v>
      </c>
      <c r="H12" s="11" t="s">
        <v>1070</v>
      </c>
      <c r="I12" s="11" t="s">
        <v>1061</v>
      </c>
      <c r="J12" s="11" t="s">
        <v>1087</v>
      </c>
      <c r="K12" s="11" t="s">
        <v>1088</v>
      </c>
      <c r="L12" s="11" t="s">
        <v>1064</v>
      </c>
    </row>
    <row r="13" customFormat="false" ht="27.2" hidden="false" customHeight="false" outlineLevel="0" collapsed="false">
      <c r="A13" s="11" t="n">
        <v>9</v>
      </c>
      <c r="B13" s="11" t="s">
        <v>1065</v>
      </c>
      <c r="C13" s="48" t="s">
        <v>1092</v>
      </c>
      <c r="D13" s="11" t="s">
        <v>1093</v>
      </c>
      <c r="E13" s="11" t="s">
        <v>1045</v>
      </c>
      <c r="F13" s="11" t="s">
        <v>1876</v>
      </c>
      <c r="G13" s="11" t="s">
        <v>1094</v>
      </c>
      <c r="H13" s="11" t="s">
        <v>1070</v>
      </c>
      <c r="I13" s="11" t="s">
        <v>1080</v>
      </c>
      <c r="J13" s="11" t="s">
        <v>1095</v>
      </c>
      <c r="K13" s="11" t="s">
        <v>1088</v>
      </c>
      <c r="L13" s="11" t="s">
        <v>1660</v>
      </c>
    </row>
    <row r="14" customFormat="false" ht="27.2" hidden="false" customHeight="false" outlineLevel="0" collapsed="false">
      <c r="A14" s="11" t="n">
        <v>10</v>
      </c>
      <c r="B14" s="11" t="s">
        <v>1065</v>
      </c>
      <c r="C14" s="48" t="s">
        <v>1097</v>
      </c>
      <c r="D14" s="11" t="s">
        <v>1098</v>
      </c>
      <c r="E14" s="11" t="s">
        <v>1045</v>
      </c>
      <c r="F14" s="11" t="s">
        <v>1877</v>
      </c>
      <c r="G14" s="11" t="s">
        <v>1099</v>
      </c>
      <c r="H14" s="11" t="s">
        <v>1100</v>
      </c>
      <c r="I14" s="11" t="s">
        <v>1101</v>
      </c>
      <c r="J14" s="11" t="s">
        <v>1102</v>
      </c>
      <c r="K14" s="11" t="s">
        <v>1082</v>
      </c>
      <c r="L14" s="11" t="s">
        <v>1710</v>
      </c>
    </row>
    <row r="15" customFormat="false" ht="27.2" hidden="false" customHeight="false" outlineLevel="0" collapsed="false">
      <c r="A15" s="11" t="n">
        <v>11</v>
      </c>
      <c r="B15" s="11" t="s">
        <v>1103</v>
      </c>
      <c r="C15" s="48" t="s">
        <v>1104</v>
      </c>
      <c r="D15" s="11" t="s">
        <v>1105</v>
      </c>
      <c r="E15" s="11" t="s">
        <v>1045</v>
      </c>
      <c r="F15" s="11" t="s">
        <v>1878</v>
      </c>
      <c r="G15" s="11" t="s">
        <v>1106</v>
      </c>
      <c r="H15" s="11" t="s">
        <v>1070</v>
      </c>
      <c r="I15" s="11" t="s">
        <v>1080</v>
      </c>
      <c r="J15" s="11" t="s">
        <v>1107</v>
      </c>
      <c r="K15" s="11" t="s">
        <v>1076</v>
      </c>
      <c r="L15" s="11" t="s">
        <v>1064</v>
      </c>
    </row>
    <row r="16" customFormat="false" ht="27.2" hidden="false" customHeight="false" outlineLevel="0" collapsed="false">
      <c r="A16" s="11" t="n">
        <v>12</v>
      </c>
      <c r="B16" s="11" t="s">
        <v>1103</v>
      </c>
      <c r="C16" s="48" t="s">
        <v>1108</v>
      </c>
      <c r="D16" s="11" t="s">
        <v>1109</v>
      </c>
      <c r="E16" s="11" t="s">
        <v>1059</v>
      </c>
      <c r="F16" s="11" t="s">
        <v>1879</v>
      </c>
      <c r="G16" s="11" t="s">
        <v>1110</v>
      </c>
      <c r="H16" s="11" t="s">
        <v>1070</v>
      </c>
      <c r="I16" s="11" t="s">
        <v>1101</v>
      </c>
      <c r="J16" s="11" t="s">
        <v>1111</v>
      </c>
      <c r="K16" s="11" t="s">
        <v>1112</v>
      </c>
      <c r="L16" s="11" t="s">
        <v>1064</v>
      </c>
    </row>
    <row r="17" customFormat="false" ht="23.85" hidden="false" customHeight="false" outlineLevel="0" collapsed="false">
      <c r="A17" s="11" t="n">
        <v>13</v>
      </c>
      <c r="B17" s="11" t="s">
        <v>1103</v>
      </c>
      <c r="C17" s="48" t="s">
        <v>1113</v>
      </c>
      <c r="D17" s="11" t="s">
        <v>1114</v>
      </c>
      <c r="E17" s="11" t="s">
        <v>1054</v>
      </c>
      <c r="F17" s="11" t="s">
        <v>149</v>
      </c>
      <c r="G17" s="11" t="s">
        <v>1115</v>
      </c>
      <c r="H17" s="11" t="s">
        <v>1070</v>
      </c>
      <c r="I17" s="11" t="s">
        <v>1101</v>
      </c>
      <c r="J17" s="11" t="s">
        <v>1116</v>
      </c>
      <c r="K17" s="11" t="s">
        <v>1117</v>
      </c>
      <c r="L17" s="11" t="s">
        <v>1064</v>
      </c>
    </row>
    <row r="18" customFormat="false" ht="23.85" hidden="false" customHeight="false" outlineLevel="0" collapsed="false">
      <c r="A18" s="11" t="n">
        <v>14</v>
      </c>
      <c r="B18" s="11" t="s">
        <v>1103</v>
      </c>
      <c r="C18" s="48" t="s">
        <v>1118</v>
      </c>
      <c r="D18" s="11" t="s">
        <v>1119</v>
      </c>
      <c r="E18" s="11" t="s">
        <v>1054</v>
      </c>
      <c r="F18" s="11" t="s">
        <v>149</v>
      </c>
      <c r="G18" s="11" t="s">
        <v>1120</v>
      </c>
      <c r="H18" s="11" t="s">
        <v>1070</v>
      </c>
      <c r="I18" s="11" t="s">
        <v>1101</v>
      </c>
      <c r="J18" s="11" t="s">
        <v>1121</v>
      </c>
      <c r="K18" s="11" t="s">
        <v>1112</v>
      </c>
      <c r="L18" s="11" t="s">
        <v>1064</v>
      </c>
    </row>
    <row r="19" customFormat="false" ht="23.85" hidden="false" customHeight="false" outlineLevel="0" collapsed="false">
      <c r="A19" s="11" t="n">
        <v>15</v>
      </c>
      <c r="B19" s="11" t="s">
        <v>1103</v>
      </c>
      <c r="C19" s="48" t="s">
        <v>1122</v>
      </c>
      <c r="D19" s="11" t="s">
        <v>1123</v>
      </c>
      <c r="E19" s="11" t="s">
        <v>1054</v>
      </c>
      <c r="F19" s="11" t="s">
        <v>149</v>
      </c>
      <c r="G19" s="11" t="s">
        <v>1124</v>
      </c>
      <c r="H19" s="11" t="s">
        <v>1070</v>
      </c>
      <c r="I19" s="11" t="s">
        <v>1101</v>
      </c>
      <c r="J19" s="11" t="s">
        <v>1125</v>
      </c>
      <c r="K19" s="11" t="s">
        <v>1112</v>
      </c>
      <c r="L19" s="11" t="s">
        <v>1064</v>
      </c>
    </row>
    <row r="20" customFormat="false" ht="27.2" hidden="false" customHeight="false" outlineLevel="0" collapsed="false">
      <c r="A20" s="11" t="n">
        <v>16</v>
      </c>
      <c r="B20" s="11" t="s">
        <v>590</v>
      </c>
      <c r="C20" s="48" t="s">
        <v>1126</v>
      </c>
      <c r="D20" s="11" t="s">
        <v>1127</v>
      </c>
      <c r="E20" s="11" t="s">
        <v>1045</v>
      </c>
      <c r="F20" s="11" t="s">
        <v>1880</v>
      </c>
      <c r="G20" s="11" t="s">
        <v>1128</v>
      </c>
      <c r="H20" s="11" t="s">
        <v>1070</v>
      </c>
      <c r="I20" s="11" t="s">
        <v>1080</v>
      </c>
      <c r="J20" s="11" t="s">
        <v>1081</v>
      </c>
      <c r="K20" s="11" t="s">
        <v>1129</v>
      </c>
      <c r="L20" s="11" t="s">
        <v>1711</v>
      </c>
    </row>
    <row r="21" customFormat="false" ht="27.2" hidden="false" customHeight="false" outlineLevel="0" collapsed="false">
      <c r="A21" s="11" t="n">
        <v>17</v>
      </c>
      <c r="B21" s="11" t="s">
        <v>590</v>
      </c>
      <c r="C21" s="48" t="s">
        <v>1131</v>
      </c>
      <c r="D21" s="11" t="s">
        <v>1132</v>
      </c>
      <c r="E21" s="11" t="s">
        <v>1045</v>
      </c>
      <c r="F21" s="11" t="s">
        <v>1881</v>
      </c>
      <c r="G21" s="11" t="s">
        <v>1133</v>
      </c>
      <c r="H21" s="11" t="s">
        <v>1070</v>
      </c>
      <c r="I21" s="11" t="s">
        <v>1080</v>
      </c>
      <c r="J21" s="11" t="s">
        <v>1134</v>
      </c>
      <c r="K21" s="11" t="s">
        <v>1129</v>
      </c>
      <c r="L21" s="11" t="s">
        <v>1135</v>
      </c>
    </row>
    <row r="22" customFormat="false" ht="27.2" hidden="false" customHeight="false" outlineLevel="0" collapsed="false">
      <c r="A22" s="11" t="n">
        <v>18</v>
      </c>
      <c r="B22" s="11" t="s">
        <v>590</v>
      </c>
      <c r="C22" s="48" t="s">
        <v>1136</v>
      </c>
      <c r="D22" s="11" t="s">
        <v>1137</v>
      </c>
      <c r="E22" s="11" t="s">
        <v>1059</v>
      </c>
      <c r="F22" s="11" t="s">
        <v>1882</v>
      </c>
      <c r="G22" s="11" t="s">
        <v>1138</v>
      </c>
      <c r="H22" s="11" t="s">
        <v>1070</v>
      </c>
      <c r="I22" s="11" t="s">
        <v>1080</v>
      </c>
      <c r="J22" s="11" t="s">
        <v>1139</v>
      </c>
      <c r="K22" s="11" t="s">
        <v>1129</v>
      </c>
      <c r="L22" s="11" t="s">
        <v>1140</v>
      </c>
    </row>
    <row r="23" customFormat="false" ht="27.2" hidden="false" customHeight="false" outlineLevel="0" collapsed="false">
      <c r="A23" s="11" t="n">
        <v>19</v>
      </c>
      <c r="B23" s="11" t="s">
        <v>590</v>
      </c>
      <c r="C23" s="48" t="s">
        <v>1141</v>
      </c>
      <c r="D23" s="11" t="s">
        <v>1142</v>
      </c>
      <c r="E23" s="11" t="s">
        <v>1045</v>
      </c>
      <c r="F23" s="11" t="s">
        <v>1883</v>
      </c>
      <c r="G23" s="11" t="s">
        <v>1143</v>
      </c>
      <c r="H23" s="11" t="s">
        <v>1070</v>
      </c>
      <c r="I23" s="11" t="s">
        <v>1080</v>
      </c>
      <c r="J23" s="11" t="s">
        <v>1144</v>
      </c>
      <c r="K23" s="11" t="s">
        <v>1129</v>
      </c>
      <c r="L23" s="11" t="s">
        <v>1145</v>
      </c>
    </row>
    <row r="24" customFormat="false" ht="27.2" hidden="false" customHeight="false" outlineLevel="0" collapsed="false">
      <c r="A24" s="11" t="n">
        <v>20</v>
      </c>
      <c r="B24" s="11" t="s">
        <v>590</v>
      </c>
      <c r="C24" s="48" t="s">
        <v>1146</v>
      </c>
      <c r="D24" s="11" t="s">
        <v>1147</v>
      </c>
      <c r="E24" s="11" t="s">
        <v>1068</v>
      </c>
      <c r="F24" s="11" t="s">
        <v>1884</v>
      </c>
      <c r="G24" s="11" t="s">
        <v>1148</v>
      </c>
      <c r="H24" s="11" t="s">
        <v>1070</v>
      </c>
      <c r="I24" s="11" t="s">
        <v>1080</v>
      </c>
      <c r="J24" s="11" t="s">
        <v>1149</v>
      </c>
      <c r="K24" s="11" t="s">
        <v>1129</v>
      </c>
      <c r="L24" s="11" t="s">
        <v>1150</v>
      </c>
    </row>
    <row r="25" customFormat="false" ht="23.85" hidden="false" customHeight="false" outlineLevel="0" collapsed="false">
      <c r="A25" s="11" t="n">
        <v>21</v>
      </c>
      <c r="B25" s="11" t="s">
        <v>1151</v>
      </c>
      <c r="C25" s="48" t="s">
        <v>1152</v>
      </c>
      <c r="D25" s="11" t="s">
        <v>1153</v>
      </c>
      <c r="E25" s="11" t="s">
        <v>1054</v>
      </c>
      <c r="F25" s="11" t="s">
        <v>149</v>
      </c>
      <c r="G25" s="11" t="s">
        <v>1154</v>
      </c>
      <c r="H25" s="11" t="s">
        <v>1155</v>
      </c>
      <c r="I25" s="11" t="s">
        <v>1080</v>
      </c>
      <c r="J25" s="11" t="s">
        <v>1156</v>
      </c>
      <c r="K25" s="11" t="s">
        <v>1157</v>
      </c>
      <c r="L25" s="11" t="s">
        <v>866</v>
      </c>
    </row>
    <row r="26" customFormat="false" ht="23.85" hidden="false" customHeight="false" outlineLevel="0" collapsed="false">
      <c r="A26" s="11" t="n">
        <v>22</v>
      </c>
      <c r="B26" s="11" t="s">
        <v>1151</v>
      </c>
      <c r="C26" s="48" t="s">
        <v>1158</v>
      </c>
      <c r="D26" s="11" t="s">
        <v>1159</v>
      </c>
      <c r="E26" s="11" t="s">
        <v>1054</v>
      </c>
      <c r="F26" s="11" t="s">
        <v>149</v>
      </c>
      <c r="G26" s="11" t="s">
        <v>1160</v>
      </c>
      <c r="H26" s="11" t="s">
        <v>1155</v>
      </c>
      <c r="I26" s="11" t="s">
        <v>1080</v>
      </c>
      <c r="J26" s="11" t="s">
        <v>1156</v>
      </c>
      <c r="K26" s="11" t="s">
        <v>1157</v>
      </c>
      <c r="L26" s="11" t="s">
        <v>877</v>
      </c>
    </row>
    <row r="27" customFormat="false" ht="23.85" hidden="false" customHeight="false" outlineLevel="0" collapsed="false">
      <c r="A27" s="11" t="n">
        <v>23</v>
      </c>
      <c r="B27" s="11" t="s">
        <v>1151</v>
      </c>
      <c r="C27" s="48" t="s">
        <v>1161</v>
      </c>
      <c r="D27" s="11" t="s">
        <v>1162</v>
      </c>
      <c r="E27" s="11" t="s">
        <v>1054</v>
      </c>
      <c r="F27" s="11" t="s">
        <v>149</v>
      </c>
      <c r="G27" s="11" t="s">
        <v>1163</v>
      </c>
      <c r="H27" s="11" t="s">
        <v>1155</v>
      </c>
      <c r="I27" s="11" t="s">
        <v>1080</v>
      </c>
      <c r="J27" s="11" t="s">
        <v>1156</v>
      </c>
      <c r="K27" s="11" t="s">
        <v>1157</v>
      </c>
      <c r="L27" s="11" t="s">
        <v>885</v>
      </c>
    </row>
    <row r="28" customFormat="false" ht="27.2" hidden="false" customHeight="false" outlineLevel="0" collapsed="false">
      <c r="A28" s="11" t="n">
        <v>24</v>
      </c>
      <c r="B28" s="11" t="s">
        <v>1164</v>
      </c>
      <c r="C28" s="48" t="s">
        <v>1165</v>
      </c>
      <c r="D28" s="11" t="s">
        <v>1166</v>
      </c>
      <c r="E28" s="11" t="s">
        <v>1045</v>
      </c>
      <c r="F28" s="11" t="s">
        <v>1885</v>
      </c>
      <c r="G28" s="11" t="s">
        <v>1167</v>
      </c>
      <c r="H28" s="11" t="s">
        <v>1155</v>
      </c>
      <c r="I28" s="11" t="s">
        <v>1061</v>
      </c>
      <c r="J28" s="11" t="s">
        <v>1168</v>
      </c>
      <c r="K28" s="11" t="s">
        <v>1169</v>
      </c>
      <c r="L28" s="11" t="s">
        <v>1170</v>
      </c>
    </row>
    <row r="29" customFormat="false" ht="27.2" hidden="false" customHeight="false" outlineLevel="0" collapsed="false">
      <c r="A29" s="11" t="n">
        <v>25</v>
      </c>
      <c r="B29" s="11" t="s">
        <v>1164</v>
      </c>
      <c r="C29" s="48" t="s">
        <v>1171</v>
      </c>
      <c r="D29" s="11" t="s">
        <v>1172</v>
      </c>
      <c r="E29" s="11" t="s">
        <v>1045</v>
      </c>
      <c r="F29" s="11" t="s">
        <v>1886</v>
      </c>
      <c r="G29" s="11" t="s">
        <v>1173</v>
      </c>
      <c r="H29" s="11" t="s">
        <v>1155</v>
      </c>
      <c r="I29" s="11" t="s">
        <v>1080</v>
      </c>
      <c r="J29" s="11" t="s">
        <v>1174</v>
      </c>
      <c r="K29" s="11" t="s">
        <v>1169</v>
      </c>
      <c r="L29" s="11" t="s">
        <v>1712</v>
      </c>
    </row>
    <row r="30" customFormat="false" ht="27.2" hidden="false" customHeight="false" outlineLevel="0" collapsed="false">
      <c r="A30" s="11" t="n">
        <v>26</v>
      </c>
      <c r="B30" s="11" t="s">
        <v>1164</v>
      </c>
      <c r="C30" s="48" t="s">
        <v>1175</v>
      </c>
      <c r="D30" s="11" t="s">
        <v>1176</v>
      </c>
      <c r="E30" s="11" t="s">
        <v>1068</v>
      </c>
      <c r="F30" s="11" t="s">
        <v>1887</v>
      </c>
      <c r="G30" s="11" t="s">
        <v>1177</v>
      </c>
      <c r="H30" s="11" t="s">
        <v>1155</v>
      </c>
      <c r="I30" s="11" t="s">
        <v>1061</v>
      </c>
      <c r="J30" s="11" t="s">
        <v>1178</v>
      </c>
      <c r="K30" s="11" t="s">
        <v>1169</v>
      </c>
      <c r="L30" s="11" t="s">
        <v>1179</v>
      </c>
    </row>
    <row r="31" customFormat="false" ht="27.2" hidden="false" customHeight="false" outlineLevel="0" collapsed="false">
      <c r="A31" s="11" t="n">
        <v>27</v>
      </c>
      <c r="B31" s="11" t="s">
        <v>1164</v>
      </c>
      <c r="C31" s="48" t="s">
        <v>1180</v>
      </c>
      <c r="D31" s="11" t="s">
        <v>1181</v>
      </c>
      <c r="E31" s="11" t="s">
        <v>1045</v>
      </c>
      <c r="F31" s="11" t="s">
        <v>1888</v>
      </c>
      <c r="G31" s="11" t="s">
        <v>1182</v>
      </c>
      <c r="H31" s="11" t="s">
        <v>1155</v>
      </c>
      <c r="I31" s="11" t="s">
        <v>1080</v>
      </c>
      <c r="J31" s="11" t="s">
        <v>1178</v>
      </c>
      <c r="K31" s="11" t="s">
        <v>1169</v>
      </c>
      <c r="L31" s="11" t="s">
        <v>960</v>
      </c>
    </row>
    <row r="32" customFormat="false" ht="27.2" hidden="false" customHeight="false" outlineLevel="0" collapsed="false">
      <c r="A32" s="11" t="n">
        <v>28</v>
      </c>
      <c r="B32" s="11" t="s">
        <v>1164</v>
      </c>
      <c r="C32" s="48" t="s">
        <v>1183</v>
      </c>
      <c r="D32" s="11" t="s">
        <v>1184</v>
      </c>
      <c r="E32" s="11" t="s">
        <v>1185</v>
      </c>
      <c r="F32" s="11" t="s">
        <v>1889</v>
      </c>
      <c r="G32" s="11" t="s">
        <v>1186</v>
      </c>
      <c r="H32" s="11" t="s">
        <v>1155</v>
      </c>
      <c r="I32" s="11" t="s">
        <v>1080</v>
      </c>
      <c r="J32" s="11" t="s">
        <v>1187</v>
      </c>
      <c r="K32" s="11" t="s">
        <v>1169</v>
      </c>
      <c r="L32" s="11" t="s">
        <v>1713</v>
      </c>
    </row>
    <row r="33" customFormat="false" ht="35.05" hidden="false" customHeight="false" outlineLevel="0" collapsed="false">
      <c r="A33" s="11" t="n">
        <v>29</v>
      </c>
      <c r="B33" s="11" t="s">
        <v>1189</v>
      </c>
      <c r="C33" s="48" t="s">
        <v>1190</v>
      </c>
      <c r="D33" s="11" t="s">
        <v>1191</v>
      </c>
      <c r="E33" s="11" t="s">
        <v>1054</v>
      </c>
      <c r="F33" s="11" t="s">
        <v>149</v>
      </c>
      <c r="G33" s="11" t="s">
        <v>1192</v>
      </c>
      <c r="H33" s="11" t="s">
        <v>1100</v>
      </c>
      <c r="I33" s="11" t="s">
        <v>817</v>
      </c>
      <c r="J33" s="11" t="s">
        <v>1193</v>
      </c>
      <c r="K33" s="11" t="s">
        <v>1194</v>
      </c>
      <c r="L33" s="11" t="s">
        <v>1195</v>
      </c>
    </row>
    <row r="34" customFormat="false" ht="15.6" hidden="false" customHeight="false" outlineLevel="0" collapsed="false">
      <c r="A34" s="11" t="n">
        <v>30</v>
      </c>
      <c r="B34" s="11" t="s">
        <v>1189</v>
      </c>
      <c r="C34" s="48" t="s">
        <v>1196</v>
      </c>
      <c r="D34" s="11" t="s">
        <v>1197</v>
      </c>
      <c r="E34" s="11" t="s">
        <v>1054</v>
      </c>
      <c r="F34" s="11" t="s">
        <v>149</v>
      </c>
      <c r="G34" s="11" t="s">
        <v>1198</v>
      </c>
      <c r="H34" s="11" t="s">
        <v>1100</v>
      </c>
      <c r="I34" s="11" t="s">
        <v>1101</v>
      </c>
      <c r="J34" s="11" t="s">
        <v>1199</v>
      </c>
      <c r="K34" s="11" t="s">
        <v>1194</v>
      </c>
      <c r="L34" s="11" t="s">
        <v>1714</v>
      </c>
    </row>
    <row r="35" customFormat="false" ht="27.2" hidden="false" customHeight="false" outlineLevel="0" collapsed="false">
      <c r="A35" s="11" t="n">
        <v>31</v>
      </c>
      <c r="B35" s="11" t="s">
        <v>1189</v>
      </c>
      <c r="C35" s="48" t="s">
        <v>1201</v>
      </c>
      <c r="D35" s="11" t="s">
        <v>1202</v>
      </c>
      <c r="E35" s="11" t="s">
        <v>1054</v>
      </c>
      <c r="F35" s="11" t="s">
        <v>149</v>
      </c>
      <c r="G35" s="11" t="s">
        <v>1198</v>
      </c>
      <c r="H35" s="11" t="s">
        <v>1100</v>
      </c>
      <c r="I35" s="11" t="s">
        <v>1101</v>
      </c>
      <c r="J35" s="11" t="s">
        <v>1187</v>
      </c>
      <c r="K35" s="11" t="s">
        <v>1194</v>
      </c>
      <c r="L35" s="11" t="s">
        <v>1715</v>
      </c>
    </row>
    <row r="36" customFormat="false" ht="27.2" hidden="false" customHeight="false" outlineLevel="0" collapsed="false">
      <c r="A36" s="11" t="n">
        <v>32</v>
      </c>
      <c r="B36" s="11" t="s">
        <v>1189</v>
      </c>
      <c r="C36" s="48" t="s">
        <v>1204</v>
      </c>
      <c r="D36" s="11" t="s">
        <v>1205</v>
      </c>
      <c r="E36" s="11" t="s">
        <v>1054</v>
      </c>
      <c r="F36" s="11" t="s">
        <v>149</v>
      </c>
      <c r="G36" s="11" t="s">
        <v>1206</v>
      </c>
      <c r="H36" s="11" t="s">
        <v>1100</v>
      </c>
      <c r="I36" s="11" t="s">
        <v>1101</v>
      </c>
      <c r="J36" s="11" t="s">
        <v>1199</v>
      </c>
      <c r="K36" s="11" t="s">
        <v>1194</v>
      </c>
      <c r="L36" s="11" t="s">
        <v>1664</v>
      </c>
    </row>
    <row r="37" customFormat="false" ht="27.2" hidden="false" customHeight="false" outlineLevel="0" collapsed="false">
      <c r="A37" s="11" t="n">
        <v>33</v>
      </c>
      <c r="B37" s="11" t="s">
        <v>1189</v>
      </c>
      <c r="C37" s="48" t="s">
        <v>1208</v>
      </c>
      <c r="D37" s="11" t="s">
        <v>1209</v>
      </c>
      <c r="E37" s="11" t="s">
        <v>1054</v>
      </c>
      <c r="F37" s="11" t="s">
        <v>149</v>
      </c>
      <c r="G37" s="11" t="s">
        <v>1206</v>
      </c>
      <c r="H37" s="11" t="s">
        <v>1100</v>
      </c>
      <c r="I37" s="11" t="s">
        <v>1101</v>
      </c>
      <c r="J37" s="11" t="s">
        <v>1210</v>
      </c>
      <c r="K37" s="11" t="s">
        <v>1194</v>
      </c>
      <c r="L37" s="11" t="s">
        <v>1716</v>
      </c>
    </row>
    <row r="38" customFormat="false" ht="15.6" hidden="false" customHeight="false" outlineLevel="0" collapsed="false">
      <c r="A38" s="11" t="n">
        <v>34</v>
      </c>
      <c r="B38" s="11" t="s">
        <v>1189</v>
      </c>
      <c r="C38" s="48" t="s">
        <v>1212</v>
      </c>
      <c r="D38" s="11" t="s">
        <v>1213</v>
      </c>
      <c r="E38" s="11" t="s">
        <v>1054</v>
      </c>
      <c r="F38" s="11" t="s">
        <v>149</v>
      </c>
      <c r="G38" s="11" t="s">
        <v>1206</v>
      </c>
      <c r="H38" s="11" t="s">
        <v>1100</v>
      </c>
      <c r="I38" s="11" t="s">
        <v>1101</v>
      </c>
      <c r="J38" s="11" t="s">
        <v>1214</v>
      </c>
      <c r="K38" s="11" t="s">
        <v>1194</v>
      </c>
      <c r="L38" s="11" t="s">
        <v>1717</v>
      </c>
    </row>
    <row r="39" customFormat="false" ht="27.2" hidden="false" customHeight="false" outlineLevel="0" collapsed="false">
      <c r="A39" s="11" t="n">
        <v>35</v>
      </c>
      <c r="B39" s="11" t="s">
        <v>1189</v>
      </c>
      <c r="C39" s="48" t="s">
        <v>1215</v>
      </c>
      <c r="D39" s="11" t="s">
        <v>1216</v>
      </c>
      <c r="E39" s="11" t="s">
        <v>1054</v>
      </c>
      <c r="F39" s="11" t="s">
        <v>149</v>
      </c>
      <c r="G39" s="11" t="s">
        <v>1206</v>
      </c>
      <c r="H39" s="11" t="s">
        <v>1100</v>
      </c>
      <c r="I39" s="11" t="s">
        <v>1101</v>
      </c>
      <c r="J39" s="11" t="s">
        <v>1217</v>
      </c>
      <c r="K39" s="11" t="s">
        <v>1194</v>
      </c>
      <c r="L39" s="11" t="s">
        <v>1718</v>
      </c>
    </row>
    <row r="40" customFormat="false" ht="27.2" hidden="false" customHeight="false" outlineLevel="0" collapsed="false">
      <c r="A40" s="11" t="n">
        <v>36</v>
      </c>
      <c r="B40" s="11" t="s">
        <v>1218</v>
      </c>
      <c r="C40" s="48" t="s">
        <v>1219</v>
      </c>
      <c r="D40" s="11" t="s">
        <v>1220</v>
      </c>
      <c r="E40" s="11" t="s">
        <v>1054</v>
      </c>
      <c r="F40" s="11" t="s">
        <v>149</v>
      </c>
      <c r="G40" s="11" t="s">
        <v>1221</v>
      </c>
      <c r="H40" s="11" t="s">
        <v>1070</v>
      </c>
      <c r="I40" s="11" t="s">
        <v>1101</v>
      </c>
      <c r="J40" s="11" t="s">
        <v>1071</v>
      </c>
      <c r="K40" s="11" t="s">
        <v>1117</v>
      </c>
      <c r="L40" s="11" t="s">
        <v>1668</v>
      </c>
    </row>
    <row r="41" customFormat="false" ht="15.6" hidden="false" customHeight="false" outlineLevel="0" collapsed="false">
      <c r="A41" s="11" t="n">
        <v>37</v>
      </c>
      <c r="B41" s="11" t="s">
        <v>1218</v>
      </c>
      <c r="C41" s="48" t="s">
        <v>1223</v>
      </c>
      <c r="D41" s="11" t="s">
        <v>1224</v>
      </c>
      <c r="E41" s="11" t="s">
        <v>1054</v>
      </c>
      <c r="F41" s="11" t="s">
        <v>149</v>
      </c>
      <c r="G41" s="11" t="s">
        <v>1225</v>
      </c>
      <c r="H41" s="11" t="s">
        <v>1155</v>
      </c>
      <c r="I41" s="11" t="s">
        <v>1101</v>
      </c>
      <c r="J41" s="11" t="s">
        <v>1226</v>
      </c>
      <c r="K41" s="11" t="s">
        <v>1117</v>
      </c>
      <c r="L41" s="11" t="s">
        <v>1669</v>
      </c>
    </row>
    <row r="42" customFormat="false" ht="23.85" hidden="false" customHeight="false" outlineLevel="0" collapsed="false">
      <c r="A42" s="11" t="n">
        <v>38</v>
      </c>
      <c r="B42" s="11" t="s">
        <v>1218</v>
      </c>
      <c r="C42" s="48" t="s">
        <v>1228</v>
      </c>
      <c r="D42" s="11" t="s">
        <v>1229</v>
      </c>
      <c r="E42" s="11" t="s">
        <v>1054</v>
      </c>
      <c r="F42" s="11" t="s">
        <v>149</v>
      </c>
      <c r="G42" s="11" t="s">
        <v>1230</v>
      </c>
      <c r="H42" s="11" t="s">
        <v>1100</v>
      </c>
      <c r="I42" s="11" t="s">
        <v>1101</v>
      </c>
      <c r="J42" s="11" t="s">
        <v>1226</v>
      </c>
      <c r="K42" s="11" t="s">
        <v>1117</v>
      </c>
      <c r="L42" s="11" t="s">
        <v>1064</v>
      </c>
    </row>
    <row r="43" customFormat="false" ht="15" hidden="false" customHeight="false" outlineLevel="0" collapsed="false">
      <c r="A43" s="11" t="n">
        <v>39</v>
      </c>
      <c r="B43" s="11" t="s">
        <v>1218</v>
      </c>
      <c r="C43" s="48" t="s">
        <v>1231</v>
      </c>
      <c r="D43" s="11" t="s">
        <v>1232</v>
      </c>
      <c r="E43" s="11" t="s">
        <v>1054</v>
      </c>
      <c r="F43" s="11" t="s">
        <v>149</v>
      </c>
      <c r="G43" s="11" t="s">
        <v>1206</v>
      </c>
      <c r="H43" s="11" t="s">
        <v>1155</v>
      </c>
      <c r="I43" s="11" t="s">
        <v>1101</v>
      </c>
      <c r="J43" s="11" t="s">
        <v>1071</v>
      </c>
      <c r="K43" s="11" t="s">
        <v>1117</v>
      </c>
      <c r="L43" s="11" t="s">
        <v>1233</v>
      </c>
    </row>
    <row r="44" customFormat="false" ht="15" hidden="false" customHeight="false" outlineLevel="0" collapsed="false">
      <c r="A44" s="11" t="n">
        <v>40</v>
      </c>
      <c r="B44" s="11" t="s">
        <v>1218</v>
      </c>
      <c r="C44" s="48" t="s">
        <v>1234</v>
      </c>
      <c r="D44" s="11" t="s">
        <v>1235</v>
      </c>
      <c r="E44" s="11" t="s">
        <v>1054</v>
      </c>
      <c r="F44" s="11" t="s">
        <v>149</v>
      </c>
      <c r="G44" s="11" t="s">
        <v>1206</v>
      </c>
      <c r="H44" s="11" t="s">
        <v>1100</v>
      </c>
      <c r="I44" s="11" t="s">
        <v>1101</v>
      </c>
      <c r="J44" s="11" t="s">
        <v>1071</v>
      </c>
      <c r="K44" s="11" t="s">
        <v>1117</v>
      </c>
      <c r="L44" s="11" t="s">
        <v>1236</v>
      </c>
    </row>
    <row r="45" customFormat="false" ht="23.85" hidden="false" customHeight="false" outlineLevel="0" collapsed="false">
      <c r="A45" s="11" t="n">
        <v>41</v>
      </c>
      <c r="B45" s="11" t="s">
        <v>1218</v>
      </c>
      <c r="C45" s="48" t="s">
        <v>1237</v>
      </c>
      <c r="D45" s="11" t="s">
        <v>1238</v>
      </c>
      <c r="E45" s="11" t="s">
        <v>1054</v>
      </c>
      <c r="F45" s="11" t="s">
        <v>149</v>
      </c>
      <c r="G45" s="11" t="s">
        <v>1239</v>
      </c>
      <c r="H45" s="11" t="s">
        <v>1100</v>
      </c>
      <c r="I45" s="11" t="s">
        <v>1101</v>
      </c>
      <c r="J45" s="11" t="s">
        <v>1240</v>
      </c>
      <c r="K45" s="11" t="s">
        <v>1117</v>
      </c>
      <c r="L45" s="11" t="s">
        <v>1241</v>
      </c>
    </row>
    <row r="46" customFormat="false" ht="15" hidden="false" customHeight="false" outlineLevel="0" collapsed="false">
      <c r="A46" s="11" t="n">
        <v>42</v>
      </c>
      <c r="B46" s="11" t="s">
        <v>1218</v>
      </c>
      <c r="C46" s="48" t="s">
        <v>1242</v>
      </c>
      <c r="D46" s="11" t="s">
        <v>1243</v>
      </c>
      <c r="E46" s="11" t="s">
        <v>1054</v>
      </c>
      <c r="F46" s="11" t="s">
        <v>149</v>
      </c>
      <c r="G46" s="11" t="s">
        <v>1206</v>
      </c>
      <c r="H46" s="11" t="s">
        <v>1100</v>
      </c>
      <c r="I46" s="11" t="s">
        <v>1101</v>
      </c>
      <c r="J46" s="11" t="s">
        <v>1244</v>
      </c>
      <c r="K46" s="11" t="s">
        <v>1117</v>
      </c>
      <c r="L46" s="11" t="s">
        <v>1064</v>
      </c>
    </row>
    <row r="47" customFormat="false" ht="27.2" hidden="false" customHeight="false" outlineLevel="0" collapsed="false">
      <c r="A47" s="11" t="n">
        <v>43</v>
      </c>
      <c r="B47" s="11" t="s">
        <v>1245</v>
      </c>
      <c r="C47" s="48" t="s">
        <v>1246</v>
      </c>
      <c r="D47" s="11" t="s">
        <v>1247</v>
      </c>
      <c r="E47" s="11" t="s">
        <v>1185</v>
      </c>
      <c r="F47" s="11" t="s">
        <v>1890</v>
      </c>
      <c r="G47" s="11" t="s">
        <v>1248</v>
      </c>
      <c r="H47" s="11" t="s">
        <v>1070</v>
      </c>
      <c r="I47" s="11" t="s">
        <v>1080</v>
      </c>
      <c r="J47" s="11" t="s">
        <v>1249</v>
      </c>
      <c r="K47" s="11" t="s">
        <v>1112</v>
      </c>
      <c r="L47" s="11" t="s">
        <v>1064</v>
      </c>
    </row>
    <row r="48" customFormat="false" ht="27.2" hidden="false" customHeight="false" outlineLevel="0" collapsed="false">
      <c r="A48" s="11" t="n">
        <v>44</v>
      </c>
      <c r="B48" s="11" t="s">
        <v>1245</v>
      </c>
      <c r="C48" s="48" t="s">
        <v>1250</v>
      </c>
      <c r="D48" s="11" t="s">
        <v>1251</v>
      </c>
      <c r="E48" s="11" t="s">
        <v>1185</v>
      </c>
      <c r="F48" s="11" t="s">
        <v>1891</v>
      </c>
      <c r="G48" s="11" t="s">
        <v>1252</v>
      </c>
      <c r="H48" s="11" t="s">
        <v>1100</v>
      </c>
      <c r="I48" s="11" t="s">
        <v>1101</v>
      </c>
      <c r="J48" s="11" t="s">
        <v>1253</v>
      </c>
      <c r="K48" s="11" t="s">
        <v>1254</v>
      </c>
      <c r="L48" s="11" t="s">
        <v>1064</v>
      </c>
    </row>
    <row r="49" customFormat="false" ht="27.2" hidden="false" customHeight="false" outlineLevel="0" collapsed="false">
      <c r="A49" s="11" t="n">
        <v>45</v>
      </c>
      <c r="B49" s="11" t="s">
        <v>1245</v>
      </c>
      <c r="C49" s="48" t="s">
        <v>1255</v>
      </c>
      <c r="D49" s="11" t="s">
        <v>1256</v>
      </c>
      <c r="E49" s="11" t="s">
        <v>1185</v>
      </c>
      <c r="F49" s="11" t="s">
        <v>1892</v>
      </c>
      <c r="G49" s="11" t="s">
        <v>1252</v>
      </c>
      <c r="H49" s="11" t="s">
        <v>1100</v>
      </c>
      <c r="I49" s="11" t="s">
        <v>1101</v>
      </c>
      <c r="J49" s="11" t="s">
        <v>1257</v>
      </c>
      <c r="K49" s="11" t="s">
        <v>1254</v>
      </c>
      <c r="L49" s="11" t="s">
        <v>1258</v>
      </c>
    </row>
    <row r="50" customFormat="false" ht="27.2" hidden="false" customHeight="false" outlineLevel="0" collapsed="false">
      <c r="A50" s="11" t="n">
        <v>46</v>
      </c>
      <c r="B50" s="11" t="s">
        <v>929</v>
      </c>
      <c r="C50" s="48" t="s">
        <v>1259</v>
      </c>
      <c r="D50" s="11" t="s">
        <v>1260</v>
      </c>
      <c r="E50" s="11" t="s">
        <v>1059</v>
      </c>
      <c r="F50" s="11" t="s">
        <v>1893</v>
      </c>
      <c r="G50" s="11" t="s">
        <v>1261</v>
      </c>
      <c r="H50" s="11" t="s">
        <v>1070</v>
      </c>
      <c r="I50" s="11" t="s">
        <v>1101</v>
      </c>
      <c r="J50" s="11" t="s">
        <v>1262</v>
      </c>
      <c r="K50" s="11" t="s">
        <v>1263</v>
      </c>
      <c r="L50" s="11" t="s">
        <v>1264</v>
      </c>
    </row>
    <row r="51" customFormat="false" ht="27.2" hidden="false" customHeight="false" outlineLevel="0" collapsed="false">
      <c r="A51" s="11" t="n">
        <v>47</v>
      </c>
      <c r="B51" s="11" t="s">
        <v>929</v>
      </c>
      <c r="C51" s="48" t="s">
        <v>1265</v>
      </c>
      <c r="D51" s="11" t="s">
        <v>1266</v>
      </c>
      <c r="E51" s="11" t="s">
        <v>1059</v>
      </c>
      <c r="F51" s="11" t="s">
        <v>1894</v>
      </c>
      <c r="G51" s="11" t="s">
        <v>1261</v>
      </c>
      <c r="H51" s="11" t="s">
        <v>1070</v>
      </c>
      <c r="I51" s="11" t="s">
        <v>1101</v>
      </c>
      <c r="J51" s="11" t="s">
        <v>1178</v>
      </c>
      <c r="K51" s="11" t="s">
        <v>1263</v>
      </c>
      <c r="L51" s="11" t="s">
        <v>1150</v>
      </c>
    </row>
    <row r="52" customFormat="false" ht="27.2" hidden="false" customHeight="false" outlineLevel="0" collapsed="false">
      <c r="A52" s="11" t="n">
        <v>48</v>
      </c>
      <c r="B52" s="11" t="s">
        <v>929</v>
      </c>
      <c r="C52" s="48" t="s">
        <v>1267</v>
      </c>
      <c r="D52" s="11" t="s">
        <v>1268</v>
      </c>
      <c r="E52" s="11" t="s">
        <v>1059</v>
      </c>
      <c r="F52" s="11" t="s">
        <v>1895</v>
      </c>
      <c r="G52" s="11" t="s">
        <v>1269</v>
      </c>
      <c r="H52" s="11" t="s">
        <v>1070</v>
      </c>
      <c r="I52" s="11" t="s">
        <v>1101</v>
      </c>
      <c r="J52" s="11" t="s">
        <v>1270</v>
      </c>
      <c r="K52" s="11" t="s">
        <v>1263</v>
      </c>
      <c r="L52" s="11" t="s">
        <v>1271</v>
      </c>
    </row>
    <row r="53" customFormat="false" ht="27.2" hidden="false" customHeight="false" outlineLevel="0" collapsed="false">
      <c r="A53" s="11" t="n">
        <v>49</v>
      </c>
      <c r="B53" s="11" t="s">
        <v>929</v>
      </c>
      <c r="C53" s="48" t="s">
        <v>1272</v>
      </c>
      <c r="D53" s="11" t="s">
        <v>1273</v>
      </c>
      <c r="E53" s="11" t="s">
        <v>1059</v>
      </c>
      <c r="F53" s="11" t="s">
        <v>1896</v>
      </c>
      <c r="G53" s="11" t="s">
        <v>1274</v>
      </c>
      <c r="H53" s="11" t="s">
        <v>1070</v>
      </c>
      <c r="I53" s="11" t="s">
        <v>1101</v>
      </c>
      <c r="J53" s="11" t="s">
        <v>1275</v>
      </c>
      <c r="K53" s="11" t="s">
        <v>1263</v>
      </c>
      <c r="L53" s="11" t="s">
        <v>1276</v>
      </c>
    </row>
    <row r="54" customFormat="false" ht="27.2" hidden="false" customHeight="false" outlineLevel="0" collapsed="false">
      <c r="A54" s="11" t="n">
        <v>50</v>
      </c>
      <c r="B54" s="11" t="s">
        <v>929</v>
      </c>
      <c r="C54" s="48" t="s">
        <v>1277</v>
      </c>
      <c r="D54" s="11" t="s">
        <v>1278</v>
      </c>
      <c r="E54" s="11" t="s">
        <v>1059</v>
      </c>
      <c r="F54" s="11" t="s">
        <v>1897</v>
      </c>
      <c r="G54" s="11" t="s">
        <v>1279</v>
      </c>
      <c r="H54" s="11" t="s">
        <v>1070</v>
      </c>
      <c r="I54" s="11" t="s">
        <v>1101</v>
      </c>
      <c r="J54" s="11" t="s">
        <v>1280</v>
      </c>
      <c r="K54" s="11" t="s">
        <v>1263</v>
      </c>
      <c r="L54" s="11" t="s">
        <v>1281</v>
      </c>
    </row>
    <row r="55" customFormat="false" ht="27.2" hidden="false" customHeight="false" outlineLevel="0" collapsed="false">
      <c r="A55" s="11" t="n">
        <v>51</v>
      </c>
      <c r="B55" s="11" t="s">
        <v>929</v>
      </c>
      <c r="C55" s="48" t="s">
        <v>1282</v>
      </c>
      <c r="D55" s="11" t="s">
        <v>1283</v>
      </c>
      <c r="E55" s="11" t="s">
        <v>1045</v>
      </c>
      <c r="F55" s="11" t="s">
        <v>1898</v>
      </c>
      <c r="G55" s="11" t="s">
        <v>1284</v>
      </c>
      <c r="H55" s="11" t="s">
        <v>1070</v>
      </c>
      <c r="I55" s="11" t="s">
        <v>1101</v>
      </c>
      <c r="J55" s="11" t="s">
        <v>1285</v>
      </c>
      <c r="K55" s="11" t="s">
        <v>1263</v>
      </c>
      <c r="L55" s="11" t="s">
        <v>1286</v>
      </c>
    </row>
  </sheetData>
  <autoFilter ref="A4:L55"/>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34"/>
    <col collapsed="false" customWidth="true" hidden="false" outlineLevel="0" max="4" min="4" style="0" width="50"/>
    <col collapsed="false" customWidth="true" hidden="false" outlineLevel="0" max="5" min="5" style="0" width="34"/>
    <col collapsed="false" customWidth="true" hidden="false" outlineLevel="0" max="6" min="6" style="0" width="26"/>
    <col collapsed="false" customWidth="true" hidden="false" outlineLevel="0" max="7" min="7" style="0" width="16"/>
    <col collapsed="false" customWidth="true" hidden="false" outlineLevel="0" max="8" min="8" style="0" width="50"/>
  </cols>
  <sheetData>
    <row r="1" customFormat="false" ht="17.35" hidden="false" customHeight="false" outlineLevel="0" collapsed="false">
      <c r="A1" s="1" t="s">
        <v>1287</v>
      </c>
    </row>
    <row r="2" customFormat="false" ht="15" hidden="false" customHeight="false" outlineLevel="0" collapsed="false">
      <c r="A2" s="2" t="s">
        <v>1288</v>
      </c>
    </row>
    <row r="4" customFormat="false" ht="15" hidden="false" customHeight="false" outlineLevel="0" collapsed="false">
      <c r="A4" s="10" t="s">
        <v>749</v>
      </c>
      <c r="B4" s="10" t="s">
        <v>1289</v>
      </c>
      <c r="C4" s="10" t="s">
        <v>1290</v>
      </c>
      <c r="D4" s="10" t="s">
        <v>1291</v>
      </c>
      <c r="E4" s="10" t="s">
        <v>1292</v>
      </c>
      <c r="F4" s="10" t="s">
        <v>1293</v>
      </c>
      <c r="G4" s="10" t="s">
        <v>693</v>
      </c>
      <c r="H4" s="10" t="s">
        <v>1294</v>
      </c>
    </row>
    <row r="5" customFormat="false" ht="27.2" hidden="false" customHeight="false" outlineLevel="0" collapsed="false">
      <c r="A5" s="48" t="s">
        <v>866</v>
      </c>
      <c r="B5" s="11" t="s">
        <v>99</v>
      </c>
      <c r="C5" s="11" t="s">
        <v>1295</v>
      </c>
      <c r="D5" s="11" t="s">
        <v>1296</v>
      </c>
      <c r="E5" s="11" t="s">
        <v>1653</v>
      </c>
      <c r="F5" s="11" t="s">
        <v>1156</v>
      </c>
      <c r="G5" s="11" t="s">
        <v>1297</v>
      </c>
      <c r="H5" s="11" t="s">
        <v>1298</v>
      </c>
    </row>
    <row r="6" customFormat="false" ht="27.2" hidden="false" customHeight="false" outlineLevel="0" collapsed="false">
      <c r="A6" s="48" t="s">
        <v>877</v>
      </c>
      <c r="B6" s="11" t="s">
        <v>99</v>
      </c>
      <c r="C6" s="11" t="s">
        <v>1299</v>
      </c>
      <c r="D6" s="11" t="s">
        <v>1300</v>
      </c>
      <c r="E6" s="11" t="s">
        <v>1654</v>
      </c>
      <c r="F6" s="11" t="s">
        <v>1156</v>
      </c>
      <c r="G6" s="11" t="s">
        <v>1297</v>
      </c>
      <c r="H6" s="11" t="s">
        <v>1301</v>
      </c>
    </row>
    <row r="7" customFormat="false" ht="27.2" hidden="false" customHeight="false" outlineLevel="0" collapsed="false">
      <c r="A7" s="48" t="s">
        <v>885</v>
      </c>
      <c r="B7" s="11" t="s">
        <v>99</v>
      </c>
      <c r="C7" s="11" t="s">
        <v>1302</v>
      </c>
      <c r="D7" s="11" t="s">
        <v>1300</v>
      </c>
      <c r="E7" s="11" t="s">
        <v>1655</v>
      </c>
      <c r="F7" s="11" t="s">
        <v>1156</v>
      </c>
      <c r="G7" s="11" t="s">
        <v>1297</v>
      </c>
      <c r="H7" s="11" t="s">
        <v>1303</v>
      </c>
    </row>
    <row r="8" customFormat="false" ht="50.4" hidden="false" customHeight="false" outlineLevel="0" collapsed="false">
      <c r="A8" s="48" t="s">
        <v>1304</v>
      </c>
      <c r="B8" s="11" t="s">
        <v>99</v>
      </c>
      <c r="C8" s="11" t="s">
        <v>1305</v>
      </c>
      <c r="D8" s="11" t="s">
        <v>1306</v>
      </c>
      <c r="E8" s="11" t="s">
        <v>1656</v>
      </c>
      <c r="F8" s="11" t="s">
        <v>1899</v>
      </c>
      <c r="G8" s="11" t="s">
        <v>1297</v>
      </c>
      <c r="H8" s="11" t="s">
        <v>1308</v>
      </c>
    </row>
    <row r="9" customFormat="false" ht="120" hidden="false" customHeight="false" outlineLevel="0" collapsed="false">
      <c r="A9" s="48" t="s">
        <v>1309</v>
      </c>
      <c r="B9" s="11" t="s">
        <v>99</v>
      </c>
      <c r="C9" s="11" t="s">
        <v>1310</v>
      </c>
      <c r="D9" s="11" t="s">
        <v>1311</v>
      </c>
      <c r="E9" s="11" t="s">
        <v>1312</v>
      </c>
      <c r="F9" s="11" t="s">
        <v>1900</v>
      </c>
      <c r="G9" s="11" t="s">
        <v>485</v>
      </c>
      <c r="H9" s="11" t="s">
        <v>1901</v>
      </c>
    </row>
    <row r="10" customFormat="false" ht="35.05" hidden="false" customHeight="false" outlineLevel="0" collapsed="false">
      <c r="A10" s="48" t="s">
        <v>1314</v>
      </c>
      <c r="B10" s="11" t="s">
        <v>65</v>
      </c>
      <c r="C10" s="11" t="s">
        <v>1315</v>
      </c>
      <c r="D10" s="11" t="s">
        <v>1316</v>
      </c>
      <c r="E10" s="11" t="s">
        <v>1272</v>
      </c>
      <c r="F10" s="11" t="s">
        <v>1317</v>
      </c>
      <c r="G10" s="11" t="s">
        <v>1318</v>
      </c>
      <c r="H10" s="11" t="s">
        <v>1319</v>
      </c>
    </row>
    <row r="11" customFormat="false" ht="35.05" hidden="false" customHeight="false" outlineLevel="0" collapsed="false">
      <c r="A11" s="48" t="s">
        <v>1145</v>
      </c>
      <c r="B11" s="11" t="s">
        <v>65</v>
      </c>
      <c r="C11" s="11" t="s">
        <v>1320</v>
      </c>
      <c r="D11" s="11" t="s">
        <v>1321</v>
      </c>
      <c r="E11" s="11" t="s">
        <v>1322</v>
      </c>
      <c r="F11" s="11" t="s">
        <v>1262</v>
      </c>
      <c r="G11" s="11" t="s">
        <v>1297</v>
      </c>
      <c r="H11" s="11" t="s">
        <v>1323</v>
      </c>
    </row>
    <row r="12" customFormat="false" ht="38.8" hidden="false" customHeight="false" outlineLevel="0" collapsed="false">
      <c r="A12" s="48" t="s">
        <v>1236</v>
      </c>
      <c r="B12" s="11" t="s">
        <v>65</v>
      </c>
      <c r="C12" s="11" t="s">
        <v>1324</v>
      </c>
      <c r="D12" s="11" t="s">
        <v>1325</v>
      </c>
      <c r="E12" s="11" t="s">
        <v>1326</v>
      </c>
      <c r="F12" s="11" t="s">
        <v>1317</v>
      </c>
      <c r="G12" s="11" t="s">
        <v>992</v>
      </c>
      <c r="H12" s="11" t="s">
        <v>1671</v>
      </c>
    </row>
    <row r="13" customFormat="false" ht="38.8" hidden="false" customHeight="false" outlineLevel="0" collapsed="false">
      <c r="A13" s="48" t="s">
        <v>1328</v>
      </c>
      <c r="B13" s="11" t="s">
        <v>65</v>
      </c>
      <c r="C13" s="11" t="s">
        <v>1329</v>
      </c>
      <c r="D13" s="11" t="s">
        <v>1330</v>
      </c>
      <c r="E13" s="11" t="s">
        <v>1657</v>
      </c>
      <c r="F13" s="11" t="s">
        <v>1317</v>
      </c>
      <c r="G13" s="11" t="s">
        <v>1332</v>
      </c>
      <c r="H13" s="11" t="s">
        <v>1333</v>
      </c>
    </row>
    <row r="14" customFormat="false" ht="23.85" hidden="false" customHeight="false" outlineLevel="0" collapsed="false">
      <c r="A14" s="48" t="s">
        <v>1334</v>
      </c>
      <c r="B14" s="11" t="s">
        <v>54</v>
      </c>
      <c r="C14" s="11" t="s">
        <v>1335</v>
      </c>
      <c r="D14" s="11" t="s">
        <v>1336</v>
      </c>
      <c r="E14" s="11" t="s">
        <v>1277</v>
      </c>
      <c r="F14" s="11" t="s">
        <v>1337</v>
      </c>
      <c r="G14" s="11" t="s">
        <v>1338</v>
      </c>
      <c r="H14" s="11" t="s">
        <v>1339</v>
      </c>
    </row>
    <row r="15" customFormat="false" ht="23.85" hidden="false" customHeight="false" outlineLevel="0" collapsed="false">
      <c r="A15" s="48" t="s">
        <v>960</v>
      </c>
      <c r="B15" s="11" t="s">
        <v>54</v>
      </c>
      <c r="C15" s="11" t="s">
        <v>1340</v>
      </c>
      <c r="D15" s="11" t="s">
        <v>1341</v>
      </c>
      <c r="E15" s="11" t="s">
        <v>1342</v>
      </c>
      <c r="F15" s="11" t="s">
        <v>1178</v>
      </c>
      <c r="G15" s="11" t="s">
        <v>1297</v>
      </c>
      <c r="H15" s="11" t="s">
        <v>1343</v>
      </c>
    </row>
    <row r="16" customFormat="false" ht="35.05" hidden="false" customHeight="false" outlineLevel="0" collapsed="false">
      <c r="A16" s="48" t="s">
        <v>1344</v>
      </c>
      <c r="B16" s="11" t="s">
        <v>54</v>
      </c>
      <c r="C16" s="11" t="s">
        <v>1345</v>
      </c>
      <c r="D16" s="11" t="s">
        <v>1346</v>
      </c>
      <c r="E16" s="11" t="s">
        <v>1347</v>
      </c>
      <c r="F16" s="11" t="s">
        <v>1348</v>
      </c>
      <c r="G16" s="11" t="s">
        <v>1349</v>
      </c>
      <c r="H16" s="11" t="s">
        <v>1350</v>
      </c>
    </row>
    <row r="17" customFormat="false" ht="35.05" hidden="false" customHeight="false" outlineLevel="0" collapsed="false">
      <c r="A17" s="48" t="s">
        <v>1258</v>
      </c>
      <c r="B17" s="11" t="s">
        <v>54</v>
      </c>
      <c r="C17" s="11" t="s">
        <v>1351</v>
      </c>
      <c r="D17" s="11" t="s">
        <v>1352</v>
      </c>
      <c r="E17" s="11" t="s">
        <v>1353</v>
      </c>
      <c r="F17" s="11" t="s">
        <v>1348</v>
      </c>
      <c r="G17" s="11" t="s">
        <v>1354</v>
      </c>
      <c r="H17" s="11" t="s">
        <v>1355</v>
      </c>
    </row>
    <row r="18" customFormat="false" ht="46.25" hidden="false" customHeight="false" outlineLevel="0" collapsed="false">
      <c r="A18" s="48" t="s">
        <v>1356</v>
      </c>
      <c r="B18" s="11" t="s">
        <v>110</v>
      </c>
      <c r="C18" s="11" t="s">
        <v>1357</v>
      </c>
      <c r="D18" s="11" t="s">
        <v>1358</v>
      </c>
      <c r="E18" s="11" t="s">
        <v>1359</v>
      </c>
      <c r="F18" s="11" t="s">
        <v>1360</v>
      </c>
      <c r="G18" s="11" t="s">
        <v>1297</v>
      </c>
      <c r="H18" s="11" t="s">
        <v>1361</v>
      </c>
    </row>
    <row r="19" customFormat="false" ht="27.2" hidden="false" customHeight="false" outlineLevel="0" collapsed="false">
      <c r="A19" s="48" t="s">
        <v>1362</v>
      </c>
      <c r="B19" s="11" t="s">
        <v>110</v>
      </c>
      <c r="C19" s="11" t="s">
        <v>1363</v>
      </c>
      <c r="D19" s="11" t="s">
        <v>1364</v>
      </c>
      <c r="E19" s="11" t="s">
        <v>1267</v>
      </c>
      <c r="F19" s="11" t="s">
        <v>1902</v>
      </c>
      <c r="G19" s="11" t="s">
        <v>485</v>
      </c>
      <c r="H19" s="11" t="s">
        <v>1365</v>
      </c>
    </row>
    <row r="20" customFormat="false" ht="38.8" hidden="false" customHeight="false" outlineLevel="0" collapsed="false">
      <c r="A20" s="48" t="s">
        <v>1366</v>
      </c>
      <c r="B20" s="11" t="s">
        <v>110</v>
      </c>
      <c r="C20" s="11" t="s">
        <v>1367</v>
      </c>
      <c r="D20" s="11" t="s">
        <v>1368</v>
      </c>
      <c r="E20" s="11" t="s">
        <v>1369</v>
      </c>
      <c r="F20" s="11" t="s">
        <v>1903</v>
      </c>
      <c r="G20" s="11" t="s">
        <v>485</v>
      </c>
      <c r="H20" s="11" t="s">
        <v>1370</v>
      </c>
    </row>
    <row r="21" customFormat="false" ht="38.8" hidden="false" customHeight="false" outlineLevel="0" collapsed="false">
      <c r="A21" s="48" t="s">
        <v>1233</v>
      </c>
      <c r="B21" s="11" t="s">
        <v>110</v>
      </c>
      <c r="C21" s="11" t="s">
        <v>1371</v>
      </c>
      <c r="D21" s="11" t="s">
        <v>1372</v>
      </c>
      <c r="E21" s="11" t="s">
        <v>1373</v>
      </c>
      <c r="F21" s="11" t="s">
        <v>1904</v>
      </c>
      <c r="G21" s="11" t="s">
        <v>1374</v>
      </c>
      <c r="H21" s="11" t="s">
        <v>1375</v>
      </c>
    </row>
    <row r="22" customFormat="false" ht="50.4" hidden="false" customHeight="false" outlineLevel="0" collapsed="false">
      <c r="A22" s="48" t="s">
        <v>1241</v>
      </c>
      <c r="B22" s="11" t="s">
        <v>121</v>
      </c>
      <c r="C22" s="11" t="s">
        <v>1376</v>
      </c>
      <c r="D22" s="11" t="s">
        <v>1377</v>
      </c>
      <c r="E22" s="11" t="s">
        <v>1658</v>
      </c>
      <c r="F22" s="11" t="s">
        <v>1379</v>
      </c>
      <c r="G22" s="11" t="s">
        <v>485</v>
      </c>
      <c r="H22" s="11" t="s">
        <v>1380</v>
      </c>
    </row>
    <row r="23" customFormat="false" ht="259.2" hidden="false" customHeight="false" outlineLevel="0" collapsed="false">
      <c r="A23" s="48" t="s">
        <v>1140</v>
      </c>
      <c r="B23" s="11" t="s">
        <v>121</v>
      </c>
      <c r="C23" s="11" t="s">
        <v>1381</v>
      </c>
      <c r="D23" s="11" t="s">
        <v>1705</v>
      </c>
      <c r="E23" s="11" t="s">
        <v>1706</v>
      </c>
      <c r="F23" s="11" t="s">
        <v>1707</v>
      </c>
      <c r="G23" s="11" t="s">
        <v>485</v>
      </c>
      <c r="H23" s="11" t="s">
        <v>1905</v>
      </c>
    </row>
    <row r="24" customFormat="false" ht="23.85" hidden="false" customHeight="false" outlineLevel="0" collapsed="false">
      <c r="A24" s="48" t="s">
        <v>1064</v>
      </c>
      <c r="B24" s="11" t="s">
        <v>121</v>
      </c>
      <c r="C24" s="11" t="s">
        <v>1386</v>
      </c>
      <c r="D24" s="11" t="s">
        <v>1387</v>
      </c>
      <c r="E24" s="11" t="s">
        <v>1388</v>
      </c>
      <c r="F24" s="11" t="s">
        <v>1389</v>
      </c>
      <c r="G24" s="11" t="s">
        <v>485</v>
      </c>
      <c r="H24" s="11" t="s">
        <v>1390</v>
      </c>
    </row>
    <row r="25" customFormat="false" ht="23.85" hidden="false" customHeight="false" outlineLevel="0" collapsed="false">
      <c r="A25" s="48" t="s">
        <v>1391</v>
      </c>
      <c r="B25" s="11" t="s">
        <v>121</v>
      </c>
      <c r="C25" s="11" t="s">
        <v>1392</v>
      </c>
      <c r="D25" s="11" t="s">
        <v>1393</v>
      </c>
      <c r="E25" s="11" t="s">
        <v>1394</v>
      </c>
      <c r="F25" s="11" t="s">
        <v>1395</v>
      </c>
      <c r="G25" s="11" t="s">
        <v>1396</v>
      </c>
      <c r="H25" s="11" t="s">
        <v>1397</v>
      </c>
    </row>
    <row r="26" customFormat="false" ht="38.8" hidden="false" customHeight="false" outlineLevel="0" collapsed="false">
      <c r="A26" s="48" t="s">
        <v>1398</v>
      </c>
      <c r="B26" s="11" t="s">
        <v>121</v>
      </c>
      <c r="C26" s="11" t="s">
        <v>1399</v>
      </c>
      <c r="D26" s="11" t="s">
        <v>1400</v>
      </c>
      <c r="E26" s="11" t="s">
        <v>1401</v>
      </c>
      <c r="F26" s="11" t="s">
        <v>1402</v>
      </c>
      <c r="G26" s="11" t="s">
        <v>1403</v>
      </c>
      <c r="H26" s="11" t="s">
        <v>1672</v>
      </c>
    </row>
  </sheetData>
  <autoFilter ref="A4:H26"/>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40"/>
    <col collapsed="false" customWidth="true" hidden="false" outlineLevel="0" max="4" min="4" style="0" width="18"/>
    <col collapsed="false" customWidth="true" hidden="false" outlineLevel="0" max="5" min="5" style="0" width="24"/>
    <col collapsed="false" customWidth="true" hidden="false" outlineLevel="0" max="6" min="6" style="0" width="50"/>
  </cols>
  <sheetData>
    <row r="1" customFormat="false" ht="17.35" hidden="false" customHeight="false" outlineLevel="0" collapsed="false">
      <c r="A1" s="1" t="s">
        <v>1405</v>
      </c>
    </row>
    <row r="2" customFormat="false" ht="15" hidden="false" customHeight="false" outlineLevel="0" collapsed="false">
      <c r="A2" s="2" t="s">
        <v>1406</v>
      </c>
    </row>
    <row r="4" customFormat="false" ht="23.85" hidden="false" customHeight="false" outlineLevel="0" collapsed="false">
      <c r="A4" s="10" t="s">
        <v>36</v>
      </c>
      <c r="B4" s="10" t="s">
        <v>38</v>
      </c>
      <c r="C4" s="10" t="s">
        <v>1407</v>
      </c>
      <c r="D4" s="10" t="s">
        <v>1408</v>
      </c>
      <c r="E4" s="10" t="s">
        <v>1409</v>
      </c>
      <c r="F4" s="10" t="s">
        <v>1410</v>
      </c>
    </row>
    <row r="5" customFormat="false" ht="35.05" hidden="false" customHeight="false" outlineLevel="0" collapsed="false">
      <c r="A5" s="11" t="s">
        <v>1411</v>
      </c>
      <c r="B5" s="11" t="s">
        <v>1412</v>
      </c>
      <c r="C5" s="11" t="s">
        <v>1413</v>
      </c>
      <c r="D5" s="55" t="n">
        <v>0.02</v>
      </c>
      <c r="E5" s="11" t="s">
        <v>1414</v>
      </c>
      <c r="F5" s="11" t="s">
        <v>1415</v>
      </c>
    </row>
    <row r="6" customFormat="false" ht="57.45" hidden="false" customHeight="false" outlineLevel="0" collapsed="false">
      <c r="A6" s="11" t="s">
        <v>1257</v>
      </c>
      <c r="B6" s="11" t="s">
        <v>1416</v>
      </c>
      <c r="C6" s="11" t="s">
        <v>1417</v>
      </c>
      <c r="D6" s="55" t="n">
        <v>0.05</v>
      </c>
      <c r="E6" s="11" t="s">
        <v>1418</v>
      </c>
      <c r="F6" s="11" t="s">
        <v>1419</v>
      </c>
    </row>
    <row r="7" customFormat="false" ht="46.25" hidden="false" customHeight="false" outlineLevel="0" collapsed="false">
      <c r="A7" s="11" t="s">
        <v>1420</v>
      </c>
      <c r="B7" s="11" t="s">
        <v>1421</v>
      </c>
      <c r="C7" s="11" t="s">
        <v>1422</v>
      </c>
      <c r="D7" s="55" t="n">
        <v>0.1</v>
      </c>
      <c r="E7" s="11" t="s">
        <v>1423</v>
      </c>
      <c r="F7" s="11" t="s">
        <v>1424</v>
      </c>
    </row>
    <row r="8" customFormat="false" ht="143.2" hidden="false" customHeight="false" outlineLevel="0" collapsed="false">
      <c r="A8" s="11" t="s">
        <v>1425</v>
      </c>
      <c r="B8" s="11" t="s">
        <v>1701</v>
      </c>
      <c r="C8" s="11" t="s">
        <v>1703</v>
      </c>
      <c r="D8" s="54" t="n">
        <v>0.5</v>
      </c>
      <c r="E8" s="11" t="s">
        <v>1428</v>
      </c>
      <c r="F8" s="11" t="s">
        <v>1704</v>
      </c>
    </row>
    <row r="9" customFormat="false" ht="57.45" hidden="false" customHeight="false" outlineLevel="0" collapsed="false">
      <c r="A9" s="11" t="s">
        <v>1430</v>
      </c>
      <c r="B9" s="11" t="s">
        <v>1431</v>
      </c>
      <c r="C9" s="11" t="s">
        <v>1432</v>
      </c>
      <c r="D9" s="46" t="s">
        <v>1433</v>
      </c>
      <c r="E9" s="11" t="s">
        <v>1434</v>
      </c>
      <c r="F9" s="11" t="s">
        <v>1435</v>
      </c>
    </row>
    <row r="10" customFormat="false" ht="108.4" hidden="false" customHeight="false" outlineLevel="0" collapsed="false">
      <c r="A10" s="11" t="s">
        <v>1125</v>
      </c>
      <c r="B10" s="11" t="s">
        <v>1436</v>
      </c>
      <c r="C10" s="11" t="s">
        <v>1674</v>
      </c>
      <c r="D10" s="46" t="s">
        <v>1438</v>
      </c>
      <c r="E10" s="11" t="s">
        <v>1439</v>
      </c>
      <c r="F10" s="11" t="s">
        <v>1440</v>
      </c>
    </row>
    <row r="11" customFormat="false" ht="35.05" hidden="false" customHeight="false" outlineLevel="0" collapsed="false">
      <c r="A11" s="11" t="s">
        <v>1441</v>
      </c>
      <c r="B11" s="11" t="s">
        <v>1442</v>
      </c>
      <c r="C11" s="11" t="s">
        <v>1443</v>
      </c>
      <c r="D11" s="46" t="s">
        <v>1444</v>
      </c>
      <c r="E11" s="11" t="s">
        <v>1445</v>
      </c>
      <c r="F11" s="11" t="s">
        <v>1446</v>
      </c>
    </row>
    <row r="12" customFormat="false" ht="57.45" hidden="false" customHeight="false" outlineLevel="0" collapsed="false">
      <c r="A12" s="11" t="s">
        <v>1139</v>
      </c>
      <c r="B12" s="11" t="s">
        <v>1447</v>
      </c>
      <c r="C12" s="11" t="s">
        <v>1448</v>
      </c>
      <c r="D12" s="46" t="s">
        <v>1449</v>
      </c>
      <c r="E12" s="11" t="s">
        <v>1450</v>
      </c>
      <c r="F12" s="11" t="s">
        <v>1451</v>
      </c>
    </row>
    <row r="13" customFormat="false" ht="35.05" hidden="false" customHeight="false" outlineLevel="0" collapsed="false">
      <c r="A13" s="11" t="s">
        <v>1452</v>
      </c>
      <c r="B13" s="11" t="s">
        <v>1453</v>
      </c>
      <c r="C13" s="11" t="s">
        <v>1454</v>
      </c>
      <c r="D13" s="46" t="s">
        <v>1455</v>
      </c>
      <c r="E13" s="11" t="s">
        <v>1456</v>
      </c>
      <c r="F13" s="11" t="s">
        <v>1457</v>
      </c>
    </row>
    <row r="14" customFormat="false" ht="143.2" hidden="false" customHeight="false" outlineLevel="0" collapsed="false">
      <c r="A14" s="11" t="s">
        <v>1116</v>
      </c>
      <c r="B14" s="11" t="s">
        <v>1458</v>
      </c>
      <c r="C14" s="11" t="s">
        <v>1675</v>
      </c>
      <c r="D14" s="46" t="s">
        <v>1460</v>
      </c>
      <c r="E14" s="11" t="s">
        <v>1461</v>
      </c>
      <c r="F14" s="11" t="s">
        <v>1462</v>
      </c>
    </row>
    <row r="15" customFormat="false" ht="68.65" hidden="false" customHeight="false" outlineLevel="0" collapsed="false">
      <c r="A15" s="11" t="s">
        <v>1463</v>
      </c>
      <c r="B15" s="11" t="s">
        <v>1464</v>
      </c>
      <c r="C15" s="11" t="s">
        <v>1465</v>
      </c>
      <c r="D15" s="46" t="s">
        <v>1466</v>
      </c>
      <c r="E15" s="11" t="s">
        <v>1467</v>
      </c>
      <c r="F15" s="11" t="s">
        <v>1468</v>
      </c>
    </row>
    <row r="16" customFormat="false" ht="85.2" hidden="false" customHeight="false" outlineLevel="0" collapsed="false">
      <c r="A16" s="11" t="s">
        <v>1144</v>
      </c>
      <c r="B16" s="11" t="s">
        <v>1469</v>
      </c>
      <c r="C16" s="11" t="s">
        <v>1676</v>
      </c>
      <c r="D16" s="46" t="s">
        <v>1471</v>
      </c>
      <c r="E16" s="11" t="s">
        <v>1472</v>
      </c>
      <c r="F16" s="11" t="s">
        <v>1473</v>
      </c>
    </row>
    <row r="17" customFormat="false" ht="57.45" hidden="false" customHeight="false" outlineLevel="0" collapsed="false">
      <c r="A17" s="11" t="s">
        <v>1474</v>
      </c>
      <c r="B17" s="11" t="s">
        <v>1475</v>
      </c>
      <c r="C17" s="11" t="s">
        <v>1476</v>
      </c>
      <c r="D17" s="46" t="s">
        <v>1477</v>
      </c>
      <c r="E17" s="11" t="s">
        <v>1478</v>
      </c>
      <c r="F17" s="11" t="s">
        <v>1479</v>
      </c>
    </row>
    <row r="18" customFormat="false" ht="68.65" hidden="false" customHeight="false" outlineLevel="0" collapsed="false">
      <c r="A18" s="11" t="s">
        <v>1480</v>
      </c>
      <c r="B18" s="11" t="s">
        <v>1481</v>
      </c>
      <c r="C18" s="11" t="s">
        <v>1482</v>
      </c>
      <c r="D18" s="46" t="s">
        <v>1483</v>
      </c>
      <c r="E18" s="11" t="s">
        <v>1484</v>
      </c>
      <c r="F18" s="11" t="s">
        <v>1485</v>
      </c>
    </row>
    <row r="19" customFormat="false" ht="68.65" hidden="false" customHeight="false" outlineLevel="0" collapsed="false">
      <c r="A19" s="11" t="s">
        <v>1486</v>
      </c>
      <c r="B19" s="11" t="s">
        <v>1487</v>
      </c>
      <c r="C19" s="11" t="s">
        <v>1488</v>
      </c>
      <c r="D19" s="46" t="s">
        <v>1489</v>
      </c>
      <c r="E19" s="11" t="s">
        <v>1490</v>
      </c>
      <c r="F19" s="11" t="s">
        <v>1491</v>
      </c>
    </row>
    <row r="20" customFormat="false" ht="46.25" hidden="false" customHeight="false" outlineLevel="0" collapsed="false">
      <c r="A20" s="11" t="s">
        <v>1492</v>
      </c>
      <c r="B20" s="11" t="s">
        <v>1493</v>
      </c>
      <c r="C20" s="11" t="s">
        <v>1494</v>
      </c>
      <c r="D20" s="46" t="s">
        <v>1495</v>
      </c>
      <c r="E20" s="11" t="s">
        <v>1496</v>
      </c>
      <c r="F20" s="11" t="s">
        <v>1497</v>
      </c>
    </row>
    <row r="21" customFormat="false" ht="120" hidden="false" customHeight="false" outlineLevel="0" collapsed="false">
      <c r="A21" s="11" t="s">
        <v>1498</v>
      </c>
      <c r="B21" s="11" t="s">
        <v>1499</v>
      </c>
      <c r="C21" s="11" t="s">
        <v>1678</v>
      </c>
      <c r="D21" s="46" t="s">
        <v>1501</v>
      </c>
      <c r="E21" s="11" t="s">
        <v>1502</v>
      </c>
      <c r="F21" s="11" t="s">
        <v>1503</v>
      </c>
    </row>
    <row r="22" customFormat="false" ht="85.2" hidden="false" customHeight="false" outlineLevel="0" collapsed="false">
      <c r="A22" s="11" t="s">
        <v>1504</v>
      </c>
      <c r="B22" s="11" t="s">
        <v>1505</v>
      </c>
      <c r="C22" s="11" t="s">
        <v>1679</v>
      </c>
      <c r="D22" s="46" t="s">
        <v>1507</v>
      </c>
      <c r="E22" s="11" t="s">
        <v>1508</v>
      </c>
      <c r="F22" s="11" t="s">
        <v>1509</v>
      </c>
    </row>
    <row r="23" customFormat="false" ht="46.25" hidden="false" customHeight="false" outlineLevel="0" collapsed="false">
      <c r="A23" s="11" t="s">
        <v>1510</v>
      </c>
      <c r="B23" s="11" t="s">
        <v>1511</v>
      </c>
      <c r="C23" s="11" t="s">
        <v>1512</v>
      </c>
      <c r="D23" s="46" t="s">
        <v>1513</v>
      </c>
      <c r="E23" s="11" t="s">
        <v>1514</v>
      </c>
      <c r="F23" s="11" t="s">
        <v>1515</v>
      </c>
    </row>
    <row r="24" customFormat="false" ht="79.85" hidden="false" customHeight="false" outlineLevel="0" collapsed="false">
      <c r="A24" s="11" t="s">
        <v>1516</v>
      </c>
      <c r="B24" s="11" t="s">
        <v>1517</v>
      </c>
      <c r="C24" s="11" t="s">
        <v>1518</v>
      </c>
      <c r="D24" s="46" t="s">
        <v>1519</v>
      </c>
      <c r="E24" s="11" t="s">
        <v>1520</v>
      </c>
      <c r="F24" s="11" t="s">
        <v>1521</v>
      </c>
    </row>
    <row r="25" customFormat="false" ht="68.65" hidden="false" customHeight="false" outlineLevel="0" collapsed="false">
      <c r="A25" s="11" t="s">
        <v>1522</v>
      </c>
      <c r="B25" s="11" t="s">
        <v>1523</v>
      </c>
      <c r="C25" s="11" t="s">
        <v>1524</v>
      </c>
      <c r="D25" s="46" t="s">
        <v>1525</v>
      </c>
      <c r="E25" s="11" t="s">
        <v>1526</v>
      </c>
      <c r="F25" s="11" t="s">
        <v>1527</v>
      </c>
    </row>
    <row r="26" customFormat="false" ht="143.2" hidden="false" customHeight="false" outlineLevel="0" collapsed="false">
      <c r="A26" s="11" t="s">
        <v>1528</v>
      </c>
      <c r="B26" s="11" t="s">
        <v>1529</v>
      </c>
      <c r="C26" s="11" t="s">
        <v>1680</v>
      </c>
      <c r="D26" s="46" t="s">
        <v>1531</v>
      </c>
      <c r="E26" s="11" t="s">
        <v>1532</v>
      </c>
      <c r="F26" s="11" t="s">
        <v>1533</v>
      </c>
    </row>
    <row r="27" customFormat="false" ht="113.4" hidden="false" customHeight="false" outlineLevel="0" collapsed="false">
      <c r="A27" s="11" t="s">
        <v>1534</v>
      </c>
      <c r="B27" s="11" t="s">
        <v>1535</v>
      </c>
      <c r="C27" s="11" t="s">
        <v>1536</v>
      </c>
      <c r="D27" s="46" t="s">
        <v>1537</v>
      </c>
      <c r="E27" s="11" t="s">
        <v>1538</v>
      </c>
      <c r="F27" s="11" t="s">
        <v>1539</v>
      </c>
    </row>
    <row r="28" customFormat="false" ht="102.2" hidden="false" customHeight="false" outlineLevel="0" collapsed="false">
      <c r="A28" s="11" t="s">
        <v>1540</v>
      </c>
      <c r="B28" s="11" t="s">
        <v>1541</v>
      </c>
      <c r="C28" s="11" t="s">
        <v>1542</v>
      </c>
      <c r="D28" s="46" t="s">
        <v>1543</v>
      </c>
      <c r="E28" s="11" t="s">
        <v>1544</v>
      </c>
      <c r="F28" s="11" t="s">
        <v>1545</v>
      </c>
    </row>
    <row r="29" customFormat="false" ht="102.2" hidden="false" customHeight="false" outlineLevel="0" collapsed="false">
      <c r="A29" s="11" t="s">
        <v>1546</v>
      </c>
      <c r="B29" s="11" t="s">
        <v>1547</v>
      </c>
      <c r="C29" s="11" t="s">
        <v>1548</v>
      </c>
      <c r="D29" s="46" t="s">
        <v>1549</v>
      </c>
      <c r="E29" s="11" t="s">
        <v>1550</v>
      </c>
      <c r="F29" s="11" t="s">
        <v>1551</v>
      </c>
    </row>
    <row r="30" customFormat="false" ht="191.75" hidden="false" customHeight="false" outlineLevel="0" collapsed="false">
      <c r="A30" s="11" t="s">
        <v>1552</v>
      </c>
      <c r="B30" s="11" t="s">
        <v>1553</v>
      </c>
      <c r="C30" s="11" t="s">
        <v>1554</v>
      </c>
      <c r="D30" s="46" t="s">
        <v>1555</v>
      </c>
      <c r="E30" s="11" t="s">
        <v>1556</v>
      </c>
      <c r="F30" s="11" t="s">
        <v>1557</v>
      </c>
    </row>
    <row r="31" customFormat="false" ht="214.15" hidden="false" customHeight="false" outlineLevel="0" collapsed="false">
      <c r="A31" s="11" t="s">
        <v>1095</v>
      </c>
      <c r="B31" s="11" t="s">
        <v>1558</v>
      </c>
      <c r="C31" s="11" t="s">
        <v>1559</v>
      </c>
      <c r="D31" s="46" t="s">
        <v>1560</v>
      </c>
      <c r="E31" s="11" t="s">
        <v>1561</v>
      </c>
      <c r="F31" s="11" t="s">
        <v>1562</v>
      </c>
    </row>
    <row r="32" customFormat="false" ht="108.4" hidden="false" customHeight="false" outlineLevel="0" collapsed="false">
      <c r="A32" s="11" t="s">
        <v>1563</v>
      </c>
      <c r="B32" s="11" t="s">
        <v>1564</v>
      </c>
      <c r="C32" s="11" t="s">
        <v>1681</v>
      </c>
      <c r="D32" s="46" t="s">
        <v>1566</v>
      </c>
      <c r="E32" s="11" t="s">
        <v>1567</v>
      </c>
      <c r="F32" s="11" t="s">
        <v>1568</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2"/>
    <col collapsed="false" customWidth="true" hidden="false" outlineLevel="0" max="6" min="4" style="0" width="20"/>
    <col collapsed="false" customWidth="true" hidden="false" outlineLevel="0" max="7" min="7" style="0" width="30"/>
    <col collapsed="false" customWidth="true" hidden="false" outlineLevel="0" max="9" min="8" style="0" width="18"/>
  </cols>
  <sheetData>
    <row r="1" customFormat="false" ht="17.35" hidden="false" customHeight="false" outlineLevel="0" collapsed="false">
      <c r="A1" s="1" t="s">
        <v>1569</v>
      </c>
    </row>
    <row r="2" customFormat="false" ht="15" hidden="false" customHeight="false" outlineLevel="0" collapsed="false">
      <c r="A2" s="2" t="s">
        <v>1570</v>
      </c>
    </row>
    <row r="4" customFormat="false" ht="23.85" hidden="false" customHeight="false" outlineLevel="0" collapsed="false">
      <c r="A4" s="10" t="s">
        <v>42</v>
      </c>
      <c r="B4" s="10" t="s">
        <v>1571</v>
      </c>
      <c r="C4" s="10" t="s">
        <v>1572</v>
      </c>
      <c r="D4" s="10" t="s">
        <v>1573</v>
      </c>
      <c r="E4" s="10" t="s">
        <v>1574</v>
      </c>
      <c r="F4" s="10" t="s">
        <v>1575</v>
      </c>
      <c r="G4" s="10" t="s">
        <v>1576</v>
      </c>
      <c r="H4" s="10" t="s">
        <v>1577</v>
      </c>
      <c r="I4" s="10" t="s">
        <v>20</v>
      </c>
    </row>
    <row r="5" customFormat="false" ht="23.85" hidden="false" customHeight="false" outlineLevel="0" collapsed="false">
      <c r="A5" s="11" t="s">
        <v>51</v>
      </c>
      <c r="B5" s="11" t="s">
        <v>1578</v>
      </c>
      <c r="C5" s="12" t="s">
        <v>1579</v>
      </c>
      <c r="D5" s="12" t="s">
        <v>1580</v>
      </c>
      <c r="E5" s="12" t="s">
        <v>1581</v>
      </c>
      <c r="F5" s="12" t="s">
        <v>1582</v>
      </c>
      <c r="G5" s="12" t="s">
        <v>1583</v>
      </c>
      <c r="H5" s="12" t="s">
        <v>1584</v>
      </c>
      <c r="I5" s="12" t="s">
        <v>1585</v>
      </c>
    </row>
    <row r="6" customFormat="false" ht="35.05" hidden="false" customHeight="false" outlineLevel="0" collapsed="false">
      <c r="A6" s="11" t="s">
        <v>84</v>
      </c>
      <c r="B6" s="11" t="s">
        <v>1586</v>
      </c>
      <c r="C6" s="12" t="s">
        <v>1587</v>
      </c>
      <c r="D6" s="12" t="s">
        <v>1588</v>
      </c>
      <c r="E6" s="12" t="s">
        <v>1589</v>
      </c>
      <c r="F6" s="12" t="s">
        <v>1590</v>
      </c>
      <c r="G6" s="12" t="s">
        <v>1591</v>
      </c>
      <c r="H6" s="12" t="s">
        <v>1592</v>
      </c>
      <c r="I6" s="12" t="s">
        <v>1593</v>
      </c>
    </row>
    <row r="7" customFormat="false" ht="23.85" hidden="false" customHeight="false" outlineLevel="0" collapsed="false">
      <c r="A7" s="11" t="s">
        <v>90</v>
      </c>
      <c r="B7" s="11" t="s">
        <v>1594</v>
      </c>
      <c r="C7" s="12" t="s">
        <v>1595</v>
      </c>
      <c r="D7" s="12" t="s">
        <v>1596</v>
      </c>
      <c r="E7" s="12" t="s">
        <v>1597</v>
      </c>
      <c r="F7" s="12" t="s">
        <v>1598</v>
      </c>
      <c r="G7" s="12" t="s">
        <v>1599</v>
      </c>
      <c r="H7" s="12" t="s">
        <v>1600</v>
      </c>
      <c r="I7" s="12" t="s">
        <v>1601</v>
      </c>
    </row>
    <row r="8" customFormat="false" ht="38.8" hidden="false" customHeight="false" outlineLevel="0" collapsed="false">
      <c r="A8" s="11" t="s">
        <v>225</v>
      </c>
      <c r="B8" s="11" t="s">
        <v>1602</v>
      </c>
      <c r="C8" s="12" t="s">
        <v>1603</v>
      </c>
      <c r="D8" s="12" t="s">
        <v>1604</v>
      </c>
      <c r="E8" s="12" t="s">
        <v>1605</v>
      </c>
      <c r="F8" s="12" t="s">
        <v>1606</v>
      </c>
      <c r="G8" s="12" t="s">
        <v>1699</v>
      </c>
      <c r="H8" s="12" t="s">
        <v>1608</v>
      </c>
      <c r="I8" s="12" t="s">
        <v>1609</v>
      </c>
    </row>
    <row r="9" customFormat="false" ht="23.85" hidden="false" customHeight="false" outlineLevel="0" collapsed="false">
      <c r="A9" s="48" t="s">
        <v>1610</v>
      </c>
      <c r="B9" s="48" t="s">
        <v>1611</v>
      </c>
      <c r="C9" s="65"/>
      <c r="D9" s="65"/>
      <c r="E9" s="65"/>
      <c r="F9" s="65"/>
      <c r="G9" s="65"/>
      <c r="H9" s="65"/>
      <c r="I9" s="65" t="s">
        <v>1612</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0"/>
    <col collapsed="false" customWidth="true" hidden="false" outlineLevel="0" max="3" min="3" style="0" width="22"/>
    <col collapsed="false" customWidth="true" hidden="false" outlineLevel="0" max="4" min="4" style="0" width="50"/>
  </cols>
  <sheetData>
    <row r="1" customFormat="false" ht="17.35" hidden="false" customHeight="false" outlineLevel="0" collapsed="false">
      <c r="A1" s="1" t="s">
        <v>1613</v>
      </c>
    </row>
    <row r="2" customFormat="false" ht="15.6" hidden="false" customHeight="false" outlineLevel="0" collapsed="false">
      <c r="A2" s="2" t="s">
        <v>1720</v>
      </c>
    </row>
    <row r="4" customFormat="false" ht="15" hidden="false" customHeight="false" outlineLevel="0" collapsed="false">
      <c r="A4" s="10" t="s">
        <v>1615</v>
      </c>
      <c r="B4" s="10" t="s">
        <v>1616</v>
      </c>
      <c r="C4" s="10" t="s">
        <v>1617</v>
      </c>
      <c r="D4" s="10" t="s">
        <v>1618</v>
      </c>
    </row>
    <row r="5" customFormat="false" ht="35.05" hidden="false" customHeight="false" outlineLevel="0" collapsed="false">
      <c r="A5" s="11" t="s">
        <v>51</v>
      </c>
      <c r="B5" s="11" t="s">
        <v>1619</v>
      </c>
      <c r="C5" s="11" t="s">
        <v>1620</v>
      </c>
      <c r="D5" s="11" t="s">
        <v>1621</v>
      </c>
    </row>
    <row r="6" customFormat="false" ht="35.05" hidden="false" customHeight="false" outlineLevel="0" collapsed="false">
      <c r="A6" s="11" t="s">
        <v>103</v>
      </c>
      <c r="B6" s="11" t="s">
        <v>1622</v>
      </c>
      <c r="C6" s="11" t="s">
        <v>1623</v>
      </c>
      <c r="D6" s="11" t="s">
        <v>1624</v>
      </c>
    </row>
    <row r="7" customFormat="false" ht="46.25" hidden="false" customHeight="false" outlineLevel="0" collapsed="false">
      <c r="A7" s="11" t="s">
        <v>90</v>
      </c>
      <c r="B7" s="11" t="s">
        <v>1625</v>
      </c>
      <c r="C7" s="11" t="s">
        <v>1626</v>
      </c>
      <c r="D7" s="11" t="s">
        <v>1627</v>
      </c>
    </row>
    <row r="8" customFormat="false" ht="35.05" hidden="false" customHeight="false" outlineLevel="0" collapsed="false">
      <c r="A8" s="11" t="s">
        <v>84</v>
      </c>
      <c r="B8" s="11" t="s">
        <v>1628</v>
      </c>
      <c r="C8" s="11" t="s">
        <v>1620</v>
      </c>
      <c r="D8" s="11" t="s">
        <v>1629</v>
      </c>
    </row>
    <row r="9" customFormat="false" ht="38.8" hidden="false" customHeight="false" outlineLevel="0" collapsed="false">
      <c r="A9" s="11" t="s">
        <v>225</v>
      </c>
      <c r="B9" s="11" t="s">
        <v>1700</v>
      </c>
      <c r="C9" s="11" t="s">
        <v>1626</v>
      </c>
      <c r="D9" s="11" t="s">
        <v>1631</v>
      </c>
    </row>
    <row r="10" customFormat="false" ht="57.45" hidden="false" customHeight="false" outlineLevel="0" collapsed="false">
      <c r="A10" s="11" t="s">
        <v>355</v>
      </c>
      <c r="B10" s="11" t="s">
        <v>1632</v>
      </c>
      <c r="C10" s="11" t="s">
        <v>1633</v>
      </c>
      <c r="D10" s="11" t="s">
        <v>1634</v>
      </c>
    </row>
    <row r="11" customFormat="false" ht="35.05" hidden="false" customHeight="false" outlineLevel="0" collapsed="false">
      <c r="A11" s="11" t="s">
        <v>361</v>
      </c>
      <c r="B11" s="11" t="s">
        <v>1635</v>
      </c>
      <c r="C11" s="11" t="s">
        <v>1636</v>
      </c>
      <c r="D11" s="11" t="s">
        <v>1637</v>
      </c>
    </row>
    <row r="12" customFormat="false" ht="46.25" hidden="false" customHeight="false" outlineLevel="0" collapsed="false">
      <c r="A12" s="11" t="s">
        <v>384</v>
      </c>
      <c r="B12" s="11" t="s">
        <v>1638</v>
      </c>
      <c r="C12" s="11" t="s">
        <v>1639</v>
      </c>
      <c r="D12" s="11" t="s">
        <v>1640</v>
      </c>
    </row>
    <row r="13" customFormat="false" ht="46.25" hidden="false" customHeight="false" outlineLevel="0" collapsed="false">
      <c r="A13" s="11" t="s">
        <v>399</v>
      </c>
      <c r="B13" s="11" t="s">
        <v>1641</v>
      </c>
      <c r="C13" s="11" t="s">
        <v>1639</v>
      </c>
      <c r="D13" s="11" t="s">
        <v>1642</v>
      </c>
    </row>
    <row r="14" customFormat="false" ht="57.45" hidden="false" customHeight="false" outlineLevel="0" collapsed="false">
      <c r="A14" s="11" t="s">
        <v>420</v>
      </c>
      <c r="B14" s="11" t="s">
        <v>1643</v>
      </c>
      <c r="C14" s="11" t="s">
        <v>1639</v>
      </c>
      <c r="D14" s="11" t="s">
        <v>1644</v>
      </c>
    </row>
    <row r="15" customFormat="false" ht="46.25" hidden="false" customHeight="false" outlineLevel="0" collapsed="false">
      <c r="A15" s="11" t="s">
        <v>426</v>
      </c>
      <c r="B15" s="11" t="s">
        <v>1645</v>
      </c>
      <c r="C15" s="11" t="s">
        <v>1646</v>
      </c>
      <c r="D15" s="11" t="s">
        <v>1647</v>
      </c>
    </row>
    <row r="16" customFormat="false" ht="35.05" hidden="false" customHeight="false" outlineLevel="0" collapsed="false">
      <c r="A16" s="11" t="s">
        <v>1648</v>
      </c>
      <c r="B16" s="11" t="s">
        <v>1649</v>
      </c>
      <c r="C16" s="11" t="s">
        <v>1650</v>
      </c>
      <c r="D16" s="11" t="s">
        <v>1651</v>
      </c>
    </row>
    <row r="17" customFormat="false" ht="50.4" hidden="false" customHeight="false" outlineLevel="0" collapsed="false">
      <c r="A17" s="11" t="s">
        <v>1791</v>
      </c>
      <c r="B17" s="11" t="s">
        <v>1792</v>
      </c>
      <c r="C17" s="11" t="s">
        <v>1793</v>
      </c>
      <c r="D17" s="11" t="s">
        <v>1794</v>
      </c>
    </row>
    <row r="18" customFormat="false" ht="85.2" hidden="false" customHeight="false" outlineLevel="0" collapsed="false">
      <c r="A18" s="11" t="s">
        <v>1795</v>
      </c>
      <c r="B18" s="11" t="s">
        <v>1796</v>
      </c>
      <c r="C18" s="11" t="s">
        <v>1797</v>
      </c>
      <c r="D18" s="11" t="s">
        <v>1798</v>
      </c>
    </row>
    <row r="19" customFormat="false" ht="73.6" hidden="false" customHeight="false" outlineLevel="0" collapsed="false">
      <c r="A19" s="11" t="s">
        <v>1799</v>
      </c>
      <c r="B19" s="11" t="s">
        <v>1800</v>
      </c>
      <c r="C19" s="11" t="s">
        <v>1801</v>
      </c>
      <c r="D19" s="11" t="s">
        <v>1802</v>
      </c>
    </row>
    <row r="20" customFormat="false" ht="62" hidden="false" customHeight="false" outlineLevel="0" collapsed="false">
      <c r="A20" s="11" t="s">
        <v>1803</v>
      </c>
      <c r="B20" s="11" t="s">
        <v>1804</v>
      </c>
      <c r="C20" s="11" t="s">
        <v>1805</v>
      </c>
      <c r="D20" s="11" t="s">
        <v>1806</v>
      </c>
    </row>
    <row r="21" customFormat="false" ht="96.8" hidden="false" customHeight="false" outlineLevel="0" collapsed="false">
      <c r="A21" s="11" t="s">
        <v>1807</v>
      </c>
      <c r="B21" s="11" t="s">
        <v>1808</v>
      </c>
      <c r="C21" s="11" t="s">
        <v>1809</v>
      </c>
      <c r="D21" s="11" t="s">
        <v>1810</v>
      </c>
    </row>
    <row r="23" customFormat="false" ht="15" hidden="false" customHeight="false" outlineLevel="0" collapsed="false">
      <c r="A23" s="17" t="s">
        <v>1652</v>
      </c>
    </row>
  </sheetData>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16"/>
    <col collapsed="false" customWidth="true" hidden="false" outlineLevel="0" max="4" min="4" style="0" width="16"/>
    <col collapsed="false" customWidth="true" hidden="false" outlineLevel="0" max="5" min="5" style="0" width="16"/>
    <col collapsed="false" customWidth="true" hidden="false" outlineLevel="0" max="6" min="6" style="0" width="16"/>
    <col collapsed="false" customWidth="true" hidden="false" outlineLevel="0" max="7" min="7" style="0" width="16"/>
    <col collapsed="false" customWidth="true" hidden="false" outlineLevel="0" max="8" min="8" style="0" width="12"/>
  </cols>
  <sheetData>
    <row r="1" customFormat="false" ht="17.35" hidden="false" customHeight="false" outlineLevel="0" collapsed="false">
      <c r="A1" s="1" t="s">
        <v>1721</v>
      </c>
    </row>
    <row r="2" customFormat="false" ht="15" hidden="false" customHeight="false" outlineLevel="0" collapsed="false">
      <c r="A2" s="2" t="s">
        <v>1722</v>
      </c>
    </row>
    <row r="4" customFormat="false" ht="15" hidden="false" customHeight="false" outlineLevel="0" collapsed="false">
      <c r="A4" s="10" t="s">
        <v>1723</v>
      </c>
      <c r="B4" s="10" t="s">
        <v>1724</v>
      </c>
      <c r="C4" s="10" t="s">
        <v>1725</v>
      </c>
      <c r="D4" s="10" t="s">
        <v>1726</v>
      </c>
      <c r="E4" s="10" t="s">
        <v>1727</v>
      </c>
      <c r="F4" s="10" t="s">
        <v>1728</v>
      </c>
      <c r="G4" s="10" t="s">
        <v>1729</v>
      </c>
      <c r="H4" s="10" t="s">
        <v>1730</v>
      </c>
    </row>
    <row r="5" customFormat="false" ht="15" hidden="false" customHeight="false" outlineLevel="0" collapsed="false">
      <c r="A5" s="48" t="s">
        <v>1731</v>
      </c>
      <c r="B5" s="53" t="n">
        <v>1</v>
      </c>
      <c r="C5" s="47" t="n">
        <v>0</v>
      </c>
      <c r="D5" s="53" t="n">
        <f aca="false">Supuestos!$D$8</f>
        <v>0.5</v>
      </c>
      <c r="E5" s="53" t="n">
        <f aca="false">Supuestos!$D$8</f>
        <v>0.5</v>
      </c>
      <c r="F5" s="47" t="n">
        <v>0</v>
      </c>
      <c r="G5" s="53" t="n">
        <f aca="false">Supuestos!$D$8</f>
        <v>0.5</v>
      </c>
      <c r="H5" s="11" t="s">
        <v>1732</v>
      </c>
    </row>
    <row r="6" customFormat="false" ht="15" hidden="false" customHeight="false" outlineLevel="0" collapsed="false">
      <c r="A6" s="48" t="s">
        <v>1733</v>
      </c>
      <c r="B6" s="53" t="n">
        <f aca="false">C5</f>
        <v>0</v>
      </c>
      <c r="C6" s="53" t="n">
        <v>1</v>
      </c>
      <c r="D6" s="47" t="n">
        <v>0</v>
      </c>
      <c r="E6" s="47" t="n">
        <v>0</v>
      </c>
      <c r="F6" s="47" t="n">
        <v>0</v>
      </c>
      <c r="G6" s="47" t="n">
        <v>0</v>
      </c>
      <c r="H6" s="11" t="s">
        <v>1734</v>
      </c>
    </row>
    <row r="7" customFormat="false" ht="15" hidden="false" customHeight="false" outlineLevel="0" collapsed="false">
      <c r="A7" s="48" t="s">
        <v>1735</v>
      </c>
      <c r="B7" s="53" t="n">
        <f aca="false">D5</f>
        <v>0.5</v>
      </c>
      <c r="C7" s="53" t="n">
        <f aca="false">D6</f>
        <v>0</v>
      </c>
      <c r="D7" s="53" t="n">
        <v>1</v>
      </c>
      <c r="E7" s="53" t="n">
        <f aca="false">Supuestos!$D$8</f>
        <v>0.5</v>
      </c>
      <c r="F7" s="47" t="n">
        <v>0</v>
      </c>
      <c r="G7" s="53" t="n">
        <f aca="false">Supuestos!$D$8</f>
        <v>0.5</v>
      </c>
      <c r="H7" s="11" t="s">
        <v>1736</v>
      </c>
    </row>
    <row r="8" customFormat="false" ht="15" hidden="false" customHeight="false" outlineLevel="0" collapsed="false">
      <c r="A8" s="48" t="s">
        <v>1737</v>
      </c>
      <c r="B8" s="53" t="n">
        <f aca="false">E5</f>
        <v>0.5</v>
      </c>
      <c r="C8" s="53" t="n">
        <f aca="false">E6</f>
        <v>0</v>
      </c>
      <c r="D8" s="53" t="n">
        <f aca="false">E7</f>
        <v>0.5</v>
      </c>
      <c r="E8" s="53" t="n">
        <v>1</v>
      </c>
      <c r="F8" s="47" t="n">
        <v>0</v>
      </c>
      <c r="G8" s="53" t="n">
        <f aca="false">Supuestos!$D$8</f>
        <v>0.5</v>
      </c>
      <c r="H8" s="11" t="s">
        <v>1738</v>
      </c>
    </row>
    <row r="9" customFormat="false" ht="15" hidden="false" customHeight="false" outlineLevel="0" collapsed="false">
      <c r="A9" s="48" t="s">
        <v>1739</v>
      </c>
      <c r="B9" s="53" t="n">
        <f aca="false">F5</f>
        <v>0</v>
      </c>
      <c r="C9" s="53" t="n">
        <f aca="false">F6</f>
        <v>0</v>
      </c>
      <c r="D9" s="53" t="n">
        <f aca="false">F7</f>
        <v>0</v>
      </c>
      <c r="E9" s="53" t="n">
        <f aca="false">F8</f>
        <v>0</v>
      </c>
      <c r="F9" s="53" t="n">
        <v>1</v>
      </c>
      <c r="G9" s="47" t="n">
        <v>0</v>
      </c>
      <c r="H9" s="11" t="s">
        <v>1740</v>
      </c>
    </row>
    <row r="10" customFormat="false" ht="15" hidden="false" customHeight="false" outlineLevel="0" collapsed="false">
      <c r="A10" s="48" t="s">
        <v>1741</v>
      </c>
      <c r="B10" s="53" t="n">
        <f aca="false">G5</f>
        <v>0.5</v>
      </c>
      <c r="C10" s="53" t="n">
        <f aca="false">G6</f>
        <v>0</v>
      </c>
      <c r="D10" s="53" t="n">
        <f aca="false">G7</f>
        <v>0.5</v>
      </c>
      <c r="E10" s="53" t="n">
        <f aca="false">G8</f>
        <v>0.5</v>
      </c>
      <c r="F10" s="53" t="n">
        <f aca="false">G9</f>
        <v>0</v>
      </c>
      <c r="G10" s="53" t="n">
        <v>1</v>
      </c>
      <c r="H10" s="11" t="s">
        <v>1742</v>
      </c>
    </row>
    <row r="11" customFormat="false" ht="15" hidden="false" customHeight="false" outlineLevel="0" collapsed="false">
      <c r="A11" s="17" t="s">
        <v>1743</v>
      </c>
    </row>
    <row r="13" customFormat="false" ht="15" hidden="false" customHeight="false" outlineLevel="0" collapsed="false">
      <c r="A13" s="5" t="s">
        <v>1744</v>
      </c>
    </row>
    <row r="14" customFormat="false" ht="15" hidden="false" customHeight="false" outlineLevel="0" collapsed="false">
      <c r="A14" s="10" t="s">
        <v>1745</v>
      </c>
      <c r="B14" s="10" t="s">
        <v>1746</v>
      </c>
      <c r="C14" s="10" t="s">
        <v>1747</v>
      </c>
      <c r="D14" s="10" t="s">
        <v>1748</v>
      </c>
      <c r="E14" s="10"/>
      <c r="F14" s="10"/>
      <c r="G14" s="10" t="s">
        <v>1749</v>
      </c>
      <c r="H14" s="10"/>
    </row>
    <row r="15" customFormat="false" ht="491.2" hidden="false" customHeight="true" outlineLevel="0" collapsed="false">
      <c r="A15" s="11" t="s">
        <v>1750</v>
      </c>
      <c r="B15" s="53" t="n">
        <f aca="false">Supuestos!$D$8</f>
        <v>0.5</v>
      </c>
      <c r="C15" s="11" t="s">
        <v>1751</v>
      </c>
      <c r="D15" s="11" t="s">
        <v>1906</v>
      </c>
      <c r="E15" s="11"/>
      <c r="F15" s="11"/>
      <c r="G15" s="11" t="s">
        <v>1753</v>
      </c>
      <c r="H15" s="11"/>
    </row>
    <row r="16" customFormat="false" ht="96.8" hidden="false" customHeight="true" outlineLevel="0" collapsed="false">
      <c r="A16" s="11" t="s">
        <v>1754</v>
      </c>
      <c r="B16" s="53" t="n">
        <f aca="false">F5</f>
        <v>0</v>
      </c>
      <c r="C16" s="11" t="s">
        <v>1755</v>
      </c>
      <c r="D16" s="11" t="s">
        <v>1756</v>
      </c>
      <c r="E16" s="11"/>
      <c r="F16" s="11"/>
      <c r="G16" s="11" t="s">
        <v>1757</v>
      </c>
      <c r="H16" s="11"/>
    </row>
    <row r="17" customFormat="false" ht="50.4" hidden="false" customHeight="true" outlineLevel="0" collapsed="false">
      <c r="A17" s="11" t="s">
        <v>1758</v>
      </c>
      <c r="B17" s="53" t="n">
        <f aca="false">D6</f>
        <v>0</v>
      </c>
      <c r="C17" s="11" t="s">
        <v>1759</v>
      </c>
      <c r="D17" s="11" t="s">
        <v>1760</v>
      </c>
      <c r="E17" s="11"/>
      <c r="F17" s="11"/>
      <c r="G17" s="11" t="s">
        <v>1761</v>
      </c>
      <c r="H17" s="11"/>
    </row>
    <row r="18" customFormat="false" ht="50.4" hidden="false" customHeight="true" outlineLevel="0" collapsed="false">
      <c r="A18" s="11" t="s">
        <v>1762</v>
      </c>
      <c r="B18" s="53" t="n">
        <f aca="false">C5</f>
        <v>0</v>
      </c>
      <c r="C18" s="11" t="s">
        <v>1763</v>
      </c>
      <c r="D18" s="11" t="s">
        <v>1764</v>
      </c>
      <c r="E18" s="11"/>
      <c r="F18" s="11"/>
      <c r="G18" s="11" t="s">
        <v>1765</v>
      </c>
      <c r="H18" s="11"/>
    </row>
    <row r="19" customFormat="false" ht="108.4" hidden="false" customHeight="true" outlineLevel="0" collapsed="false">
      <c r="A19" s="11" t="s">
        <v>1766</v>
      </c>
      <c r="B19" s="53" t="n">
        <f aca="false">F6</f>
        <v>0</v>
      </c>
      <c r="C19" s="11" t="s">
        <v>1767</v>
      </c>
      <c r="D19" s="11" t="s">
        <v>1768</v>
      </c>
      <c r="E19" s="11"/>
      <c r="F19" s="11"/>
      <c r="G19" s="11" t="s">
        <v>1769</v>
      </c>
      <c r="H19" s="11"/>
    </row>
    <row r="20" customFormat="false" ht="212.8" hidden="false" customHeight="true" outlineLevel="0" collapsed="false">
      <c r="A20" s="11" t="s">
        <v>1771</v>
      </c>
      <c r="B20" s="63" t="s">
        <v>1907</v>
      </c>
      <c r="C20" s="11" t="s">
        <v>1772</v>
      </c>
      <c r="D20" s="11" t="s">
        <v>1773</v>
      </c>
      <c r="E20" s="11"/>
      <c r="F20" s="11"/>
      <c r="G20" s="11" t="s">
        <v>1774</v>
      </c>
      <c r="H20" s="11"/>
    </row>
    <row r="21" customFormat="false" ht="85.2" hidden="false" customHeight="true" outlineLevel="0" collapsed="false">
      <c r="A21" s="11" t="s">
        <v>1776</v>
      </c>
      <c r="B21" s="63" t="s">
        <v>1908</v>
      </c>
      <c r="C21" s="11" t="s">
        <v>1777</v>
      </c>
      <c r="D21" s="11" t="s">
        <v>1778</v>
      </c>
      <c r="E21" s="11"/>
      <c r="F21" s="11"/>
      <c r="G21" s="11" t="s">
        <v>1779</v>
      </c>
      <c r="H21" s="11"/>
    </row>
    <row r="22" customFormat="false" ht="85.2" hidden="false" customHeight="true" outlineLevel="0" collapsed="false">
      <c r="A22" s="11" t="s">
        <v>1781</v>
      </c>
      <c r="B22" s="63" t="s">
        <v>1909</v>
      </c>
      <c r="C22" s="11" t="s">
        <v>1782</v>
      </c>
      <c r="D22" s="11" t="s">
        <v>1783</v>
      </c>
      <c r="E22" s="11"/>
      <c r="F22" s="11"/>
      <c r="G22" s="11" t="s">
        <v>1784</v>
      </c>
      <c r="H22" s="11"/>
    </row>
    <row r="23" customFormat="false" ht="189.6" hidden="false" customHeight="true" outlineLevel="0" collapsed="false">
      <c r="A23" s="11" t="s">
        <v>1786</v>
      </c>
      <c r="B23" s="63" t="s">
        <v>1910</v>
      </c>
      <c r="C23" s="11" t="s">
        <v>1787</v>
      </c>
      <c r="D23" s="11" t="s">
        <v>1788</v>
      </c>
      <c r="E23" s="11"/>
      <c r="F23" s="11"/>
      <c r="G23" s="11" t="s">
        <v>1789</v>
      </c>
      <c r="H23" s="11"/>
    </row>
    <row r="24" customFormat="false" ht="15" hidden="false" customHeight="false" outlineLevel="0" collapsed="false">
      <c r="A24" s="17" t="s">
        <v>1790</v>
      </c>
    </row>
  </sheetData>
  <mergeCells count="20">
    <mergeCell ref="D14:F14"/>
    <mergeCell ref="G14:H14"/>
    <mergeCell ref="D15:F15"/>
    <mergeCell ref="G15:H15"/>
    <mergeCell ref="D16:F16"/>
    <mergeCell ref="G16:H16"/>
    <mergeCell ref="D17:F17"/>
    <mergeCell ref="G17:H17"/>
    <mergeCell ref="D18:F18"/>
    <mergeCell ref="G18:H18"/>
    <mergeCell ref="D19:F19"/>
    <mergeCell ref="G19:H19"/>
    <mergeCell ref="D20:F20"/>
    <mergeCell ref="G20:H20"/>
    <mergeCell ref="D21:F21"/>
    <mergeCell ref="G21:H21"/>
    <mergeCell ref="D22:F22"/>
    <mergeCell ref="G22:H22"/>
    <mergeCell ref="D23:F23"/>
    <mergeCell ref="G23:H23"/>
  </mergeCells>
  <printOptions headings="false" gridLines="false" gridLinesSet="true" horizontalCentered="tru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2026-10-28T19:51:52Z</dcterms:created>
  <dc:creator>openpyxl</dc:creator>
  <dc:description/>
  <dc:language>en-US</dc:language>
  <cp:lastModifiedBy/>
  <dcterms:modified xsi:type="dcterms:W3CDTF">2026-10-28T19:51:52Z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